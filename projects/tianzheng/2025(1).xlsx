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 firstSheet="161" activeTab="167"/>
  </bookViews>
  <sheets>
    <sheet name="0101" sheetId="1" r:id="rId1"/>
    <sheet name="0102" sheetId="2" r:id="rId2"/>
    <sheet name="103-04" sheetId="6" r:id="rId3"/>
    <sheet name="105" sheetId="3" r:id="rId4"/>
    <sheet name="106" sheetId="4" r:id="rId5"/>
    <sheet name="107" sheetId="7" r:id="rId6"/>
    <sheet name="108" sheetId="8" r:id="rId7"/>
    <sheet name="109" sheetId="9" r:id="rId8"/>
    <sheet name="110" sheetId="11" r:id="rId9"/>
    <sheet name="115" sheetId="12" r:id="rId10"/>
    <sheet name="116" sheetId="13" r:id="rId11"/>
    <sheet name="117" sheetId="10" r:id="rId12"/>
    <sheet name="118" sheetId="14" r:id="rId13"/>
    <sheet name="119-20" sheetId="16" r:id="rId14"/>
    <sheet name="121-23" sheetId="15" r:id="rId15"/>
    <sheet name="124-26" sheetId="18" r:id="rId16"/>
    <sheet name="127" sheetId="19" r:id="rId17"/>
    <sheet name="128" sheetId="20" r:id="rId18"/>
    <sheet name="131" sheetId="21" r:id="rId19"/>
    <sheet name="201-202" sheetId="22" r:id="rId20"/>
    <sheet name="204" sheetId="23" r:id="rId21"/>
    <sheet name="205" sheetId="25" r:id="rId22"/>
    <sheet name="206" sheetId="26" r:id="rId23"/>
    <sheet name="207" sheetId="24" r:id="rId24"/>
    <sheet name="208-211" sheetId="27" r:id="rId25"/>
    <sheet name="212-13" sheetId="28" r:id="rId26"/>
    <sheet name="214-15" sheetId="29" r:id="rId27"/>
    <sheet name="216-17" sheetId="31" r:id="rId28"/>
    <sheet name="218" sheetId="33" r:id="rId29"/>
    <sheet name="219" sheetId="34" r:id="rId30"/>
    <sheet name="JK" sheetId="32" r:id="rId31"/>
    <sheet name="220-21" sheetId="35" r:id="rId32"/>
    <sheet name="301" sheetId="39" r:id="rId33"/>
    <sheet name="302-03" sheetId="38" r:id="rId34"/>
    <sheet name="304-307" sheetId="40" r:id="rId35"/>
    <sheet name="306" sheetId="42" r:id="rId36"/>
    <sheet name="308-9" sheetId="43" r:id="rId37"/>
    <sheet name="309-10" sheetId="44" r:id="rId38"/>
    <sheet name="311-12" sheetId="47" r:id="rId39"/>
    <sheet name="313-14" sheetId="45" r:id="rId40"/>
    <sheet name="315" sheetId="46" r:id="rId41"/>
    <sheet name="317-18" sheetId="48" r:id="rId42"/>
    <sheet name="319" sheetId="49" r:id="rId43"/>
    <sheet name="322-24" sheetId="50" r:id="rId44"/>
    <sheet name="325" sheetId="53" r:id="rId45"/>
    <sheet name="326-27" sheetId="54" r:id="rId46"/>
    <sheet name="328-29" sheetId="55" r:id="rId47"/>
    <sheet name="401-403" sheetId="56" r:id="rId48"/>
    <sheet name="404" sheetId="57" r:id="rId49"/>
    <sheet name="405" sheetId="58" r:id="rId50"/>
    <sheet name="406-409" sheetId="60" r:id="rId51"/>
    <sheet name="410" sheetId="62" r:id="rId52"/>
    <sheet name="JK4" sheetId="63" r:id="rId53"/>
    <sheet name="0411-13" sheetId="64" r:id="rId54"/>
    <sheet name="414-16" sheetId="68" r:id="rId55"/>
    <sheet name="417" sheetId="70" r:id="rId56"/>
    <sheet name="501" sheetId="69" r:id="rId57"/>
    <sheet name="502" sheetId="71" r:id="rId58"/>
    <sheet name="503" sheetId="72" r:id="rId59"/>
    <sheet name="504" sheetId="74" r:id="rId60"/>
    <sheet name="601-2" sheetId="76" r:id="rId61"/>
    <sheet name="603" sheetId="77" r:id="rId62"/>
    <sheet name="604" sheetId="78" r:id="rId63"/>
    <sheet name="0605" sheetId="81" r:id="rId64"/>
    <sheet name="606" sheetId="79" r:id="rId65"/>
    <sheet name="607" sheetId="84" r:id="rId66"/>
    <sheet name="608" sheetId="85" r:id="rId67"/>
    <sheet name="609" sheetId="83" r:id="rId68"/>
    <sheet name="610" sheetId="88" r:id="rId69"/>
    <sheet name="611" sheetId="87" r:id="rId70"/>
    <sheet name="612" sheetId="91" r:id="rId71"/>
    <sheet name="613" sheetId="90" r:id="rId72"/>
    <sheet name="614" sheetId="92" r:id="rId73"/>
    <sheet name="615" sheetId="94" r:id="rId74"/>
    <sheet name="616" sheetId="95" r:id="rId75"/>
    <sheet name="701" sheetId="97" r:id="rId76"/>
    <sheet name="702-2" sheetId="96" r:id="rId77"/>
    <sheet name="703" sheetId="98" r:id="rId78"/>
    <sheet name="704" sheetId="99" r:id="rId79"/>
    <sheet name="705" sheetId="101" r:id="rId80"/>
    <sheet name="710" sheetId="105" r:id="rId81"/>
    <sheet name="711" sheetId="103" r:id="rId82"/>
    <sheet name="712" sheetId="106" r:id="rId83"/>
    <sheet name="713" sheetId="107" r:id="rId84"/>
    <sheet name="714" sheetId="110" r:id="rId85"/>
    <sheet name="715" sheetId="108" r:id="rId86"/>
    <sheet name="716" sheetId="111" r:id="rId87"/>
    <sheet name="717" sheetId="112" r:id="rId88"/>
    <sheet name="718" sheetId="113" r:id="rId89"/>
    <sheet name="719" sheetId="109" r:id="rId90"/>
    <sheet name="720" sheetId="114" r:id="rId91"/>
    <sheet name="721" sheetId="115" r:id="rId92"/>
    <sheet name="722" sheetId="116" r:id="rId93"/>
    <sheet name="723" sheetId="117" r:id="rId94"/>
    <sheet name="724" sheetId="119" r:id="rId95"/>
    <sheet name="725" sheetId="118" r:id="rId96"/>
    <sheet name="801" sheetId="120" r:id="rId97"/>
    <sheet name="802" sheetId="121" r:id="rId98"/>
    <sheet name="803" sheetId="122" r:id="rId99"/>
    <sheet name="804" sheetId="124" r:id="rId100"/>
    <sheet name="805" sheetId="125" r:id="rId101"/>
    <sheet name="806" sheetId="123" r:id="rId102"/>
    <sheet name="807" sheetId="126" r:id="rId103"/>
    <sheet name="808" sheetId="127" r:id="rId104"/>
    <sheet name="809" sheetId="128" r:id="rId105"/>
    <sheet name="811" sheetId="131" r:id="rId106"/>
    <sheet name="812" sheetId="132" r:id="rId107"/>
    <sheet name="813" sheetId="129" r:id="rId108"/>
    <sheet name="814" sheetId="130" r:id="rId109"/>
    <sheet name="815" sheetId="133" r:id="rId110"/>
    <sheet name="816" sheetId="135" r:id="rId111"/>
    <sheet name="817" sheetId="136" r:id="rId112"/>
    <sheet name="818" sheetId="137" r:id="rId113"/>
    <sheet name="819" sheetId="138" r:id="rId114"/>
    <sheet name="820" sheetId="139" r:id="rId115"/>
    <sheet name="901" sheetId="140" r:id="rId116"/>
    <sheet name="902" sheetId="143" r:id="rId117"/>
    <sheet name="903" sheetId="142" r:id="rId118"/>
    <sheet name="904" sheetId="144" r:id="rId119"/>
    <sheet name="905" sheetId="146" r:id="rId120"/>
    <sheet name="906" sheetId="147" r:id="rId121"/>
    <sheet name="907" sheetId="149" r:id="rId122"/>
    <sheet name="908" sheetId="150" r:id="rId123"/>
    <sheet name="909" sheetId="148" r:id="rId124"/>
    <sheet name="910" sheetId="152" r:id="rId125"/>
    <sheet name="911" sheetId="153" r:id="rId126"/>
    <sheet name="912" sheetId="154" r:id="rId127"/>
    <sheet name="913" sheetId="155" r:id="rId128"/>
    <sheet name="914" sheetId="156" r:id="rId129"/>
    <sheet name="915" sheetId="157" r:id="rId130"/>
    <sheet name="916" sheetId="158" r:id="rId131"/>
    <sheet name="917" sheetId="159" r:id="rId132"/>
    <sheet name="918" sheetId="160" r:id="rId133"/>
    <sheet name="101" sheetId="163" r:id="rId134"/>
    <sheet name="102" sheetId="164" r:id="rId135"/>
    <sheet name="103" sheetId="165" r:id="rId136"/>
    <sheet name="104" sheetId="166" r:id="rId137"/>
    <sheet name="1005" sheetId="167" r:id="rId138"/>
    <sheet name="1006" sheetId="168" r:id="rId139"/>
    <sheet name="JK101" sheetId="170" r:id="rId140"/>
    <sheet name="JK102" sheetId="171" r:id="rId141"/>
    <sheet name="JK103" sheetId="172" r:id="rId142"/>
    <sheet name="1007" sheetId="173" r:id="rId143"/>
    <sheet name="1008" sheetId="169" r:id="rId144"/>
    <sheet name="1009" sheetId="174" r:id="rId145"/>
    <sheet name="1010" sheetId="175" r:id="rId146"/>
    <sheet name="1011" sheetId="176" r:id="rId147"/>
    <sheet name="1012" sheetId="180" r:id="rId148"/>
    <sheet name="1013" sheetId="179" r:id="rId149"/>
    <sheet name="1014" sheetId="177" r:id="rId150"/>
    <sheet name="1015" sheetId="178" r:id="rId151"/>
    <sheet name="1101" sheetId="182" r:id="rId152"/>
    <sheet name="1102" sheetId="183" r:id="rId153"/>
    <sheet name="1103" sheetId="184" r:id="rId154"/>
    <sheet name="1106" sheetId="189" r:id="rId155"/>
    <sheet name="1107" sheetId="190" r:id="rId156"/>
    <sheet name="1108" sheetId="191" r:id="rId157"/>
    <sheet name="1109" sheetId="192" r:id="rId158"/>
    <sheet name="1110" sheetId="193" r:id="rId159"/>
    <sheet name="1111-1112" sheetId="194" r:id="rId160"/>
    <sheet name="1113" sheetId="187" r:id="rId161"/>
    <sheet name="1115-1114" sheetId="186" r:id="rId162"/>
    <sheet name="1116" sheetId="185" r:id="rId163"/>
    <sheet name="1117" sheetId="188" r:id="rId164"/>
    <sheet name="1118" sheetId="195" r:id="rId165"/>
    <sheet name="1119" sheetId="196" r:id="rId166"/>
    <sheet name="1120-21" sheetId="199" r:id="rId167"/>
    <sheet name="1122" sheetId="204" r:id="rId168"/>
    <sheet name="1123" sheetId="205" r:id="rId169"/>
    <sheet name="1124" sheetId="202" r:id="rId170"/>
    <sheet name="1125" sheetId="201" r:id="rId171"/>
    <sheet name="1105" sheetId="206" r:id="rId172"/>
    <sheet name="1128" sheetId="207" r:id="rId173"/>
    <sheet name="1129" sheetId="208" r:id="rId174"/>
    <sheet name="JK1201" sheetId="211" r:id="rId175"/>
    <sheet name="1202" sheetId="212" r:id="rId176"/>
    <sheet name="1203" sheetId="213" r:id="rId177"/>
    <sheet name="1204" sheetId="214" r:id="rId178"/>
    <sheet name="1205-8" sheetId="216" r:id="rId179"/>
    <sheet name="1209粉" sheetId="215" r:id="rId180"/>
    <sheet name="Sheet15" sheetId="218" r:id="rId181"/>
    <sheet name="1211" sheetId="219" r:id="rId182"/>
    <sheet name="1212" sheetId="217" r:id="rId183"/>
    <sheet name="1213" sheetId="221" r:id="rId184"/>
    <sheet name="1214" sheetId="224" r:id="rId185"/>
    <sheet name="1215" sheetId="223" r:id="rId186"/>
    <sheet name="1216" sheetId="225" r:id="rId187"/>
    <sheet name="1217" sheetId="227" r:id="rId188"/>
    <sheet name="1218" sheetId="229" r:id="rId189"/>
    <sheet name="1219" sheetId="230" r:id="rId190"/>
    <sheet name="1220" sheetId="231" r:id="rId191"/>
    <sheet name="1221" sheetId="232" r:id="rId192"/>
    <sheet name="1222粉" sheetId="233" r:id="rId193"/>
    <sheet name="1223-24" sheetId="235" r:id="rId194"/>
    <sheet name="1225" sheetId="236" r:id="rId195"/>
    <sheet name="1228" sheetId="237" r:id="rId196"/>
    <sheet name="Sheet12" sheetId="210" state="hidden" r:id="rId19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
4.63</t>
        </r>
      </text>
    </comment>
    <comment ref="D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
4.69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N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
6.05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C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复检114.2</t>
        </r>
      </text>
    </comment>
    <comment ref="C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复检178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C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复检163.5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C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复检118.1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C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初检215.8复检225.6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复检138.2</t>
        </r>
      </text>
    </commen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复检137.9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E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69.9</t>
        </r>
      </text>
    </comment>
    <comment ref="F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89.6</t>
        </r>
      </text>
    </comment>
  </commentList>
</comments>
</file>

<file path=xl/comments9.xml><?xml version="1.0" encoding="utf-8"?>
<comments xmlns="http://schemas.openxmlformats.org/spreadsheetml/2006/main">
  <authors>
    <author>Administrator</author>
  </authors>
  <commentList>
    <comment ref="C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复检226.8</t>
        </r>
      </text>
    </comment>
  </commentList>
</comments>
</file>

<file path=xl/comments10.xml><?xml version="1.0" encoding="utf-8"?>
<comments xmlns="http://schemas.openxmlformats.org/spreadsheetml/2006/main">
  <authors>
    <author>Administrator</author>
  </authors>
  <commentList>
    <comment ref="C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初检 183.6</t>
        </r>
      </text>
    </comment>
    <comment ref="C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205.9 初检
208.4 复检 原样</t>
        </r>
      </text>
    </comment>
  </commentList>
</comments>
</file>

<file path=xl/comments11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复检4.6</t>
        </r>
      </text>
    </comment>
  </commentList>
</comments>
</file>

<file path=xl/comments12.xml><?xml version="1.0" encoding="utf-8"?>
<comments xmlns="http://schemas.openxmlformats.org/spreadsheetml/2006/main">
  <authors>
    <author>Administrator</author>
  </authors>
  <commentList>
    <comment ref="D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复检5.27</t>
        </r>
      </text>
    </comment>
  </commentList>
</comments>
</file>

<file path=xl/comments13.xml><?xml version="1.0" encoding="utf-8"?>
<comments xmlns="http://schemas.openxmlformats.org/spreadsheetml/2006/main">
  <authors>
    <author>Administrator</author>
  </authors>
  <commentList>
    <comment ref="G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初检12.22</t>
        </r>
      </text>
    </comment>
  </commentList>
</comments>
</file>

<file path=xl/comments14.xml><?xml version="1.0" encoding="utf-8"?>
<comments xmlns="http://schemas.openxmlformats.org/spreadsheetml/2006/main">
  <authors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复检117.9</t>
        </r>
      </text>
    </comment>
  </commentList>
</comments>
</file>

<file path=xl/comments15.xml><?xml version="1.0" encoding="utf-8"?>
<comments xmlns="http://schemas.openxmlformats.org/spreadsheetml/2006/main">
  <authors>
    <author>Administrator</author>
  </authors>
  <commentList>
    <comment ref="C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复检111.3</t>
        </r>
      </text>
    </comment>
    <comment ref="C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复检120.2</t>
        </r>
      </text>
    </comment>
  </commentList>
</comments>
</file>

<file path=xl/comments16.xml><?xml version="1.0" encoding="utf-8"?>
<comments xmlns="http://schemas.openxmlformats.org/spreadsheetml/2006/main">
  <authors>
    <author>Administrator</author>
  </authors>
  <commentList>
    <comment ref="C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复检229.3</t>
        </r>
      </text>
    </comment>
  </commentList>
</comments>
</file>

<file path=xl/comments17.xml><?xml version="1.0" encoding="utf-8"?>
<comments xmlns="http://schemas.openxmlformats.org/spreadsheetml/2006/main">
  <authors>
    <author>Administrator</author>
  </authors>
  <commentList>
    <comment ref="D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复检3.99</t>
        </r>
      </text>
    </comment>
  </commentList>
</comments>
</file>

<file path=xl/comments18.xml><?xml version="1.0" encoding="utf-8"?>
<comments xmlns="http://schemas.openxmlformats.org/spreadsheetml/2006/main">
  <authors>
    <author>Administrator</author>
  </authors>
  <commentList>
    <comment ref="M9" authorId="0">
      <text>
        <r>
          <rPr>
            <b/>
            <sz val="9"/>
            <rFont val="宋体"/>
            <charset val="134"/>
          </rPr>
          <t>复检5.49</t>
        </r>
      </text>
    </comment>
    <comment ref="L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复检103.7</t>
        </r>
      </text>
    </comment>
  </commentList>
</comments>
</file>

<file path=xl/comments19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初检 5.35
</t>
        </r>
      </text>
    </comment>
  </commentList>
</comments>
</file>

<file path=xl/comments20.xml><?xml version="1.0" encoding="utf-8"?>
<comments xmlns="http://schemas.openxmlformats.org/spreadsheetml/2006/main">
  <authors>
    <author>Administrator</author>
  </authors>
  <commentList>
    <comment ref="A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纯牛骨</t>
        </r>
      </text>
    </comment>
    <comment ref="A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ACG样品</t>
        </r>
      </text>
    </commen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510透过率89.5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<sst xmlns="http://schemas.openxmlformats.org/spreadsheetml/2006/main" count="5008" uniqueCount="3393">
  <si>
    <t>重量</t>
  </si>
  <si>
    <t>冻力</t>
  </si>
  <si>
    <t>粘度</t>
  </si>
  <si>
    <t>T450</t>
  </si>
  <si>
    <t>T620</t>
  </si>
  <si>
    <t>水分</t>
  </si>
  <si>
    <t>C02A241844D1</t>
  </si>
  <si>
    <t>C02A241742A1</t>
  </si>
  <si>
    <t>C02A241742A2</t>
  </si>
  <si>
    <t>C02A241534C1</t>
  </si>
  <si>
    <t>C02A241791E1</t>
  </si>
  <si>
    <t>C02A241872B1</t>
  </si>
  <si>
    <t>C02A241844C2</t>
  </si>
  <si>
    <t>C02A241544B3</t>
  </si>
  <si>
    <t>C02A241881F2</t>
  </si>
  <si>
    <t>C02A241932B2</t>
  </si>
  <si>
    <t>C02A241924D1</t>
  </si>
  <si>
    <t>C02A241914B2</t>
  </si>
  <si>
    <t>C02A241841A1</t>
  </si>
  <si>
    <t>H2O</t>
  </si>
  <si>
    <t>C02B241382A2</t>
  </si>
  <si>
    <t>C02B241303A1</t>
  </si>
  <si>
    <t>C02B241303A2</t>
  </si>
  <si>
    <t>C02B241301H4</t>
  </si>
  <si>
    <t>C02B241371B2</t>
  </si>
  <si>
    <t>C02B241231C1</t>
  </si>
  <si>
    <t>C02B241232A2</t>
  </si>
  <si>
    <t>C02B241231F2</t>
  </si>
  <si>
    <t>C02B241222A2</t>
  </si>
  <si>
    <t>C02B241371C1</t>
  </si>
  <si>
    <t>C02B241381E1</t>
  </si>
  <si>
    <t>C02B241223A1</t>
  </si>
  <si>
    <t>C02B241223A2</t>
  </si>
  <si>
    <t>C02B241223B1</t>
  </si>
  <si>
    <t>C02B241231C2</t>
  </si>
  <si>
    <t>C02B241231D1</t>
  </si>
  <si>
    <t>C02B241231F1</t>
  </si>
  <si>
    <t>C02B241221D1</t>
  </si>
  <si>
    <t>C02B241371B3</t>
  </si>
  <si>
    <t>C02B241382B2</t>
  </si>
  <si>
    <t>C02B241364A1</t>
  </si>
  <si>
    <t>C02B241372A2</t>
  </si>
  <si>
    <t>C02B241301H1</t>
  </si>
  <si>
    <t>C02B241381A1</t>
  </si>
  <si>
    <t>C02B241381B1</t>
  </si>
  <si>
    <t>C02B241381B2</t>
  </si>
  <si>
    <t>C02B241381C1</t>
  </si>
  <si>
    <t>C02B241381D2</t>
  </si>
  <si>
    <t>C02B241381E2</t>
  </si>
  <si>
    <t>C02B241233A3</t>
  </si>
  <si>
    <t>C02B241284A3</t>
  </si>
  <si>
    <t>C02B241371A1</t>
  </si>
  <si>
    <t>C02B241372A1</t>
  </si>
  <si>
    <t>C02B241301F2</t>
  </si>
  <si>
    <t>C02B241301E3</t>
  </si>
  <si>
    <t>C02A250021F2</t>
  </si>
  <si>
    <t>C02A241944C1</t>
  </si>
  <si>
    <t>C02A250022A1</t>
  </si>
  <si>
    <t>C02A241904B1</t>
  </si>
  <si>
    <t>C02A250022A2</t>
  </si>
  <si>
    <t>24LMB0234E1</t>
  </si>
  <si>
    <t>24LMB0234G1</t>
  </si>
  <si>
    <t>C02A250022A3</t>
  </si>
  <si>
    <t>24LMB0284C1</t>
  </si>
  <si>
    <t>24LMB0284C4</t>
  </si>
  <si>
    <t>C02A241941F1</t>
  </si>
  <si>
    <t>C02A241941G1</t>
  </si>
  <si>
    <t>C02A250024A1</t>
  </si>
  <si>
    <t>C02A250024A2</t>
  </si>
  <si>
    <t>C02A250024A3</t>
  </si>
  <si>
    <t>C02A250024B1</t>
  </si>
  <si>
    <t>C02A250024B2</t>
  </si>
  <si>
    <t>C02A250022B1</t>
  </si>
  <si>
    <t>23LMB2334C3</t>
  </si>
  <si>
    <t>C02A250011D1</t>
  </si>
  <si>
    <t>C02A250031F3</t>
  </si>
  <si>
    <t>C02A250014B4</t>
  </si>
  <si>
    <t>C02A250034C2</t>
  </si>
  <si>
    <t>C02A241944A1</t>
  </si>
  <si>
    <t>C02A241944A2</t>
  </si>
  <si>
    <t>C02A241944A3</t>
  </si>
  <si>
    <t>C02A241944A4</t>
  </si>
  <si>
    <t>C02A250044A1</t>
  </si>
  <si>
    <t>C02A250044A2</t>
  </si>
  <si>
    <t>C02A250044A3</t>
  </si>
  <si>
    <t>C02A250011E3</t>
  </si>
  <si>
    <t>C02A250031F1</t>
  </si>
  <si>
    <t>C02A250032A2</t>
  </si>
  <si>
    <t>C02A250044B1</t>
  </si>
  <si>
    <t>C02A250044B2</t>
  </si>
  <si>
    <t>C02A250044C1</t>
  </si>
  <si>
    <t>C02A250044C2</t>
  </si>
  <si>
    <t>C02A250023A1</t>
  </si>
  <si>
    <t>C02A250043B1</t>
  </si>
  <si>
    <t>C02A250032A1</t>
  </si>
  <si>
    <t>C02A250014B1</t>
  </si>
  <si>
    <t>C02A241914A1</t>
  </si>
  <si>
    <t>C02A241851A1</t>
  </si>
  <si>
    <t>C02A241822B1</t>
  </si>
  <si>
    <t>C02A241882C1</t>
  </si>
  <si>
    <t>C02A241921F2</t>
  </si>
  <si>
    <t>C02A241882C2</t>
  </si>
  <si>
    <t>C02A241921F3</t>
  </si>
  <si>
    <t>C02A241882C3</t>
  </si>
  <si>
    <t>C02A241932A4</t>
  </si>
  <si>
    <t>C02A241882D1</t>
  </si>
  <si>
    <t>C02A241932B1</t>
  </si>
  <si>
    <t>C02A241921E2</t>
  </si>
  <si>
    <t>C02A241921E1</t>
  </si>
  <si>
    <t>C02A241921E3</t>
  </si>
  <si>
    <t>C02A241883A1</t>
  </si>
  <si>
    <t>C02A241943A2</t>
  </si>
  <si>
    <t>C02A250062B3</t>
  </si>
  <si>
    <t>C02A241501C3</t>
  </si>
  <si>
    <t>C02A250062B4</t>
  </si>
  <si>
    <t>C02A241932A1</t>
  </si>
  <si>
    <t>C02A250051A1</t>
  </si>
  <si>
    <t>C02A250061A1</t>
  </si>
  <si>
    <t>C02A250033A2</t>
  </si>
  <si>
    <t>C02A241921F1</t>
  </si>
  <si>
    <t>C02A241902B1</t>
  </si>
  <si>
    <t>C02A241661B1</t>
  </si>
  <si>
    <t>C02A241893A1</t>
  </si>
  <si>
    <t>C02A241893A3</t>
  </si>
  <si>
    <t>C02A241841C2</t>
  </si>
  <si>
    <t>C02A241911C1</t>
  </si>
  <si>
    <t>C02A250011A1</t>
  </si>
  <si>
    <t>C02A241942A1</t>
  </si>
  <si>
    <t>C02A241942A3</t>
  </si>
  <si>
    <t>C02A241911E3</t>
  </si>
  <si>
    <t>C02A241831G1</t>
  </si>
  <si>
    <t>C02A250061F1</t>
  </si>
  <si>
    <t>C02A250053A1</t>
  </si>
  <si>
    <t>C02A250064A3</t>
  </si>
  <si>
    <t>C02A250064A4</t>
  </si>
  <si>
    <t>C02A250073A3</t>
  </si>
  <si>
    <t>C02A250074A2</t>
  </si>
  <si>
    <t>C02A250064C1</t>
  </si>
  <si>
    <t>C02A241933A1</t>
  </si>
  <si>
    <t>C02A241931F1</t>
  </si>
  <si>
    <t>C02A241922A1</t>
  </si>
  <si>
    <t>C02A241922A2</t>
  </si>
  <si>
    <t>117-2</t>
  </si>
  <si>
    <t>117-1</t>
  </si>
  <si>
    <t>C02A250054B2</t>
  </si>
  <si>
    <t>C02A250033A1</t>
  </si>
  <si>
    <t>C02A250054B3</t>
  </si>
  <si>
    <t>C02A250033A3</t>
  </si>
  <si>
    <t>C02A250054C1</t>
  </si>
  <si>
    <t>C02A250063A1</t>
  </si>
  <si>
    <t>C02A250052B1</t>
  </si>
  <si>
    <t>C02A250063A2</t>
  </si>
  <si>
    <t>C02A250052C3</t>
  </si>
  <si>
    <t>C02A250063B1</t>
  </si>
  <si>
    <t>C02A250014A1</t>
  </si>
  <si>
    <t>C02A250064A1</t>
  </si>
  <si>
    <t>C02A250014A2</t>
  </si>
  <si>
    <t>C02A250064A2</t>
  </si>
  <si>
    <t>C02A241914A4</t>
  </si>
  <si>
    <t>C02A241831G3</t>
  </si>
  <si>
    <t>C02A250051F1</t>
  </si>
  <si>
    <t>C02A241931F2</t>
  </si>
  <si>
    <t>C02A250051F2</t>
  </si>
  <si>
    <t>C02A241932A2</t>
  </si>
  <si>
    <t>C02A241944B1</t>
  </si>
  <si>
    <t>C02A250054D1</t>
  </si>
  <si>
    <t>C02A241734C3</t>
  </si>
  <si>
    <t>C02A250054E1</t>
  </si>
  <si>
    <t>C02A241893B1</t>
  </si>
  <si>
    <t>C02A241923A1</t>
  </si>
  <si>
    <t>C02A241802A1</t>
  </si>
  <si>
    <t>C02A250072A1</t>
  </si>
  <si>
    <t>C02A241803A3</t>
  </si>
  <si>
    <t>C02A250072A2</t>
  </si>
  <si>
    <t>C02A241823B3</t>
  </si>
  <si>
    <t>C02A250081G1</t>
  </si>
  <si>
    <t>C02A241823B4</t>
  </si>
  <si>
    <t>C02A250091E2</t>
  </si>
  <si>
    <t>C02A241832A2</t>
  </si>
  <si>
    <t>C02A250101F1</t>
  </si>
  <si>
    <t>C02A241932A3</t>
  </si>
  <si>
    <t>C02A250093A2</t>
  </si>
  <si>
    <t>C02A250012C1</t>
  </si>
  <si>
    <t>C02A241832C1</t>
  </si>
  <si>
    <t>C02A241843A1</t>
  </si>
  <si>
    <t>C02A250053A3</t>
  </si>
  <si>
    <t>C02A241811E2</t>
  </si>
  <si>
    <t>C02A241941H1</t>
  </si>
  <si>
    <t>C02A241841E1</t>
  </si>
  <si>
    <t>C02A250071E3</t>
  </si>
  <si>
    <t>C02A250061F2</t>
  </si>
  <si>
    <t>C02A241832B2</t>
  </si>
  <si>
    <t>C02A250082C1</t>
  </si>
  <si>
    <t>C02A250112A1</t>
  </si>
  <si>
    <t>C02A250082C2</t>
  </si>
  <si>
    <t>C02A250112A2</t>
  </si>
  <si>
    <t>C02A250082C3</t>
  </si>
  <si>
    <t>C02A250112A3</t>
  </si>
  <si>
    <t>C02A241501E1</t>
  </si>
  <si>
    <t>C02A250112B1</t>
  </si>
  <si>
    <t>C02A241521C2</t>
  </si>
  <si>
    <t>C02A250112B2</t>
  </si>
  <si>
    <t>C02A241591B1</t>
  </si>
  <si>
    <t>C02A250113A1</t>
  </si>
  <si>
    <t>C02A241691C3</t>
  </si>
  <si>
    <t>C02A241883A2</t>
  </si>
  <si>
    <t>C02A241891A1</t>
  </si>
  <si>
    <t>C02A241883A3</t>
  </si>
  <si>
    <t>C02A241731A1</t>
  </si>
  <si>
    <t>C02A250061D1</t>
  </si>
  <si>
    <t>C02A241761A1</t>
  </si>
  <si>
    <t>C02A241941H2</t>
  </si>
  <si>
    <t>C02A250071A1</t>
  </si>
  <si>
    <t>C02A241561B1</t>
  </si>
  <si>
    <t>C02A250012B1</t>
  </si>
  <si>
    <t>C02A241681C3</t>
  </si>
  <si>
    <t>C02A250113A2</t>
  </si>
  <si>
    <t>C02A250113B1</t>
  </si>
  <si>
    <t>C02A250113B2</t>
  </si>
  <si>
    <t>C02A250111E1</t>
  </si>
  <si>
    <t>C02A250111E2</t>
  </si>
  <si>
    <t>C02A250103A1</t>
  </si>
  <si>
    <t>C02A250091E4</t>
  </si>
  <si>
    <t>C02A250091E5</t>
  </si>
  <si>
    <t>C02A250082A1</t>
  </si>
  <si>
    <t>C02A250082A2</t>
  </si>
  <si>
    <t>C02A241922B1</t>
  </si>
  <si>
    <t>C02A241921D1</t>
  </si>
  <si>
    <t>C02A241934B1</t>
  </si>
  <si>
    <t>C02A241853A2</t>
  </si>
  <si>
    <t>C02A241934B2</t>
  </si>
  <si>
    <t>23LMB1344C2</t>
  </si>
  <si>
    <t>C02A250104C1</t>
  </si>
  <si>
    <t>C02A241844C3</t>
  </si>
  <si>
    <t>C02A250104C2</t>
  </si>
  <si>
    <t>C02A241524C2</t>
  </si>
  <si>
    <t>C02A241934A1</t>
  </si>
  <si>
    <t>C02A241524C3</t>
  </si>
  <si>
    <t>C02A241894A3</t>
  </si>
  <si>
    <t>C02A241864A1</t>
  </si>
  <si>
    <t>C02A241864A3</t>
  </si>
  <si>
    <t>C02A241864A2</t>
  </si>
  <si>
    <t>C02A250074B1</t>
  </si>
  <si>
    <t>C02A241852B3</t>
  </si>
  <si>
    <t>C02A241404E1</t>
  </si>
  <si>
    <t>C02A250093A3</t>
  </si>
  <si>
    <t>C02A241861A1</t>
  </si>
  <si>
    <t>C02A241861B1</t>
  </si>
  <si>
    <t>C02A241861C1</t>
  </si>
  <si>
    <t>C02A241661C1</t>
  </si>
  <si>
    <t>C02A241873A1</t>
  </si>
  <si>
    <t>C02A250123A2</t>
  </si>
  <si>
    <t>C02A250123A3</t>
  </si>
  <si>
    <t>C02A250124A1</t>
  </si>
  <si>
    <t>C02A250124A2</t>
  </si>
  <si>
    <t>C02A241851C1</t>
  </si>
  <si>
    <t>C02A241871D1</t>
  </si>
  <si>
    <t>C02A241871D2</t>
  </si>
  <si>
    <t>C02A241912B2</t>
  </si>
  <si>
    <t>C02A250102C3</t>
  </si>
  <si>
    <t>C02A241862B2</t>
  </si>
  <si>
    <t>C02A250071E1</t>
  </si>
  <si>
    <t>C02A241931A1</t>
  </si>
  <si>
    <t>C02A250054C3</t>
  </si>
  <si>
    <t>C02A250064B1</t>
  </si>
  <si>
    <t>C02A250074A1</t>
  </si>
  <si>
    <t>C02A250074A3</t>
  </si>
  <si>
    <t>C02A250094A2</t>
  </si>
  <si>
    <t>C02A241892C1</t>
  </si>
  <si>
    <t>C02A250114A1</t>
  </si>
  <si>
    <t>C02A250114A2</t>
  </si>
  <si>
    <t>C02A250131G1</t>
  </si>
  <si>
    <t>C02A241831G2</t>
  </si>
  <si>
    <t>C02A250122A1</t>
  </si>
  <si>
    <t>C02A250164E2</t>
  </si>
  <si>
    <t>C02A250164E3</t>
  </si>
  <si>
    <t>C02A250164F1</t>
  </si>
  <si>
    <t>C02A250164F2</t>
  </si>
  <si>
    <t>C02A250164G1</t>
  </si>
  <si>
    <t>C02A250164G2</t>
  </si>
  <si>
    <t>C02A250164H1</t>
  </si>
  <si>
    <t>C02A250164A1</t>
  </si>
  <si>
    <t>C02A250164B1</t>
  </si>
  <si>
    <t>C02A250164C1</t>
  </si>
  <si>
    <t>C02A250164D1</t>
  </si>
  <si>
    <t>C02A250163A1</t>
  </si>
  <si>
    <t>C02A241771C2</t>
  </si>
  <si>
    <t>C02A241842A2</t>
  </si>
  <si>
    <t>C02A250214A2</t>
  </si>
  <si>
    <t>C02A250214B1</t>
  </si>
  <si>
    <t>C02A250214B2</t>
  </si>
  <si>
    <t>C02A250214B3</t>
  </si>
  <si>
    <t>C02A250211A1</t>
  </si>
  <si>
    <t>C02A250211B1</t>
  </si>
  <si>
    <t>C02A250203A1</t>
  </si>
  <si>
    <t>C02A250173B1</t>
  </si>
  <si>
    <t>C02A250104A2</t>
  </si>
  <si>
    <t>C02A250212A1</t>
  </si>
  <si>
    <t>C02A250212A2</t>
  </si>
  <si>
    <t>C02A250203A2</t>
  </si>
  <si>
    <t>C02A250203A3</t>
  </si>
  <si>
    <t>C02A250204B3</t>
  </si>
  <si>
    <t>C02A250204C1</t>
  </si>
  <si>
    <t>C02A250204C2</t>
  </si>
  <si>
    <t>C02A250213A1</t>
  </si>
  <si>
    <t>C02A250213A3</t>
  </si>
  <si>
    <t>C02A250214A1</t>
  </si>
  <si>
    <t>C02A250171B1</t>
  </si>
  <si>
    <t>C02A250201D1</t>
  </si>
  <si>
    <t>C02A250233A1</t>
  </si>
  <si>
    <t>C02A250233A3</t>
  </si>
  <si>
    <t>C02A250233B1</t>
  </si>
  <si>
    <t>C02A250233B2</t>
  </si>
  <si>
    <t>C02A250234A1</t>
  </si>
  <si>
    <t>C02A250212A3</t>
  </si>
  <si>
    <t>C02A250013A3</t>
  </si>
  <si>
    <t>C02A250163A3</t>
  </si>
  <si>
    <t>C02A241861C2</t>
  </si>
  <si>
    <t>C02A250183B4</t>
  </si>
  <si>
    <t>C02A241923A2</t>
  </si>
  <si>
    <t>C02A250233A2</t>
  </si>
  <si>
    <t>C02A250223A2</t>
  </si>
  <si>
    <t>C02A250194C1</t>
  </si>
  <si>
    <t>C02A250194B2</t>
  </si>
  <si>
    <t>C02A250192B3</t>
  </si>
  <si>
    <t>C02A250194A2</t>
  </si>
  <si>
    <t>C02A250184A3</t>
  </si>
  <si>
    <t>C02A250183A1</t>
  </si>
  <si>
    <t>C02A250211F2</t>
  </si>
  <si>
    <t>C02A250202C1</t>
  </si>
  <si>
    <t>C02A250013A1</t>
  </si>
  <si>
    <t>C02A250202B1</t>
  </si>
  <si>
    <t>C02A250221D3</t>
  </si>
  <si>
    <t>C02A250201E1</t>
  </si>
  <si>
    <t>C02A250232B1</t>
  </si>
  <si>
    <t>C02A250202A1</t>
  </si>
  <si>
    <t>C02A250202C2</t>
  </si>
  <si>
    <t>C02A250202C3</t>
  </si>
  <si>
    <t>C02A250221D1</t>
  </si>
  <si>
    <t>C02A250221D2</t>
  </si>
  <si>
    <t>C02A250221E1</t>
  </si>
  <si>
    <t>C02A250221E2</t>
  </si>
  <si>
    <t>C02A250144B1</t>
  </si>
  <si>
    <t>C02A250144B2</t>
  </si>
  <si>
    <t>C02A250151A1</t>
  </si>
  <si>
    <t>C02A250211E2</t>
  </si>
  <si>
    <t>C02A250174A1</t>
  </si>
  <si>
    <t>C02A250174B1</t>
  </si>
  <si>
    <t>C02A250194A1</t>
  </si>
  <si>
    <t>C02A241924B1</t>
  </si>
  <si>
    <t>C02A250184B4</t>
  </si>
  <si>
    <t>C02A250084B2</t>
  </si>
  <si>
    <t>C02A241861D2</t>
  </si>
  <si>
    <t>C02A250114B1</t>
  </si>
  <si>
    <t>C02A241922A3</t>
  </si>
  <si>
    <t>C02A250142B1</t>
  </si>
  <si>
    <t>C02A250094A1</t>
  </si>
  <si>
    <t>C02A250251B3</t>
  </si>
  <si>
    <t>C02A250103B1</t>
  </si>
  <si>
    <t>C02A250232B3</t>
  </si>
  <si>
    <t>C02A250174A2</t>
  </si>
  <si>
    <t>C02A250232C2</t>
  </si>
  <si>
    <t>C02A250242A1</t>
  </si>
  <si>
    <t>C02A250232C3</t>
  </si>
  <si>
    <t>C02A250081F1</t>
  </si>
  <si>
    <t>C02A250241B2</t>
  </si>
  <si>
    <t>C02A250101F3</t>
  </si>
  <si>
    <t>C02A250251F3</t>
  </si>
  <si>
    <t>C02A250174C2</t>
  </si>
  <si>
    <t>C02A241834A1</t>
  </si>
  <si>
    <t>C02A250071E2</t>
  </si>
  <si>
    <t>C02A241904A3</t>
  </si>
  <si>
    <t>C02A250071F1</t>
  </si>
  <si>
    <t>C02A241924C2</t>
  </si>
  <si>
    <t>C02A241904A2</t>
  </si>
  <si>
    <t>C02A241841D1</t>
  </si>
  <si>
    <t>C02A250222A3</t>
  </si>
  <si>
    <t>C02A241841D2</t>
  </si>
  <si>
    <t>C02A250231E1</t>
  </si>
  <si>
    <t>C02A250072A3</t>
  </si>
  <si>
    <t>C02A250091E1</t>
  </si>
  <si>
    <t>C02A250242B1</t>
  </si>
  <si>
    <t>C02A250134C2</t>
  </si>
  <si>
    <t>C02A250263C1</t>
  </si>
  <si>
    <t>C02A250084A3</t>
  </si>
  <si>
    <t>C02A250183B1</t>
  </si>
  <si>
    <t>C02A241881D2</t>
  </si>
  <si>
    <t>C02A250174C1</t>
  </si>
  <si>
    <t>C02A250244B1</t>
  </si>
  <si>
    <t>C02A250243A2</t>
  </si>
  <si>
    <t>C02A250253A1</t>
  </si>
  <si>
    <t>C02A250263C2</t>
  </si>
  <si>
    <t>C02A241611B2</t>
  </si>
  <si>
    <t>C02A241701B2</t>
  </si>
  <si>
    <t>C02A241821A1</t>
  </si>
  <si>
    <t>C02A241551C1</t>
  </si>
  <si>
    <t>C02A241611A1</t>
  </si>
  <si>
    <t>C02A241661C2</t>
  </si>
  <si>
    <t>C02A241901A1</t>
  </si>
  <si>
    <t>C02A250151B1</t>
  </si>
  <si>
    <t>C02B241374A1</t>
  </si>
  <si>
    <t>C02B241251C2</t>
  </si>
  <si>
    <t>C02B241301E1</t>
  </si>
  <si>
    <t>C02B241251D2</t>
  </si>
  <si>
    <t>C02B241301E2</t>
  </si>
  <si>
    <t>C02B241252A1</t>
  </si>
  <si>
    <t>C02B241301D1</t>
  </si>
  <si>
    <t>C02B241294A3</t>
  </si>
  <si>
    <t>C02B241301D2</t>
  </si>
  <si>
    <t>C02B241261E3</t>
  </si>
  <si>
    <t>C02B241374A3</t>
  </si>
  <si>
    <t>C02B241271C2</t>
  </si>
  <si>
    <t>C02B241271B1</t>
  </si>
  <si>
    <t>C02B241301F1</t>
  </si>
  <si>
    <t>C02B241271B2</t>
  </si>
  <si>
    <t>C02B241301G1</t>
  </si>
  <si>
    <t>C02B241301H3</t>
  </si>
  <si>
    <t>C02B241301H2</t>
  </si>
  <si>
    <t>C02B241301B2</t>
  </si>
  <si>
    <t>C02B241271D1</t>
  </si>
  <si>
    <t>C02B241304A2</t>
  </si>
  <si>
    <t>C02A250314A1</t>
  </si>
  <si>
    <t>C02A250314A2</t>
  </si>
  <si>
    <t>C02A250314B1</t>
  </si>
  <si>
    <t>C02A250314C1</t>
  </si>
  <si>
    <t>C02A250314C2</t>
  </si>
  <si>
    <t>C02A250291C1</t>
  </si>
  <si>
    <t>C02A250192A1</t>
  </si>
  <si>
    <t>C02A250192A2</t>
  </si>
  <si>
    <t>C02A250192A3</t>
  </si>
  <si>
    <t>C02A250192B1</t>
  </si>
  <si>
    <t>C02A241851B2</t>
  </si>
  <si>
    <t>C02A250333B1</t>
  </si>
  <si>
    <t>C02A250333B2</t>
  </si>
  <si>
    <t>C02A250333B3</t>
  </si>
  <si>
    <t>C02A250281E1</t>
  </si>
  <si>
    <t>C02A250243B2</t>
  </si>
  <si>
    <t>C02A250231A1</t>
  </si>
  <si>
    <t>硫</t>
  </si>
  <si>
    <t>C02A250282A1</t>
  </si>
  <si>
    <t>C02A241931B3</t>
  </si>
  <si>
    <t>C02A250261E1</t>
  </si>
  <si>
    <t>C02A250282B2</t>
  </si>
  <si>
    <t>C02A241931B4</t>
  </si>
  <si>
    <t>C02A241511C2</t>
  </si>
  <si>
    <t>C02A241931D1</t>
  </si>
  <si>
    <t>C02A241511D1</t>
  </si>
  <si>
    <t>C02A241931D3</t>
  </si>
  <si>
    <t>C02A241521C3</t>
  </si>
  <si>
    <t>C02A241941C3</t>
  </si>
  <si>
    <t>C02A241521C4</t>
  </si>
  <si>
    <t>C02A241791B1</t>
  </si>
  <si>
    <t>C02A241551B2</t>
  </si>
  <si>
    <t>C02A241931C1</t>
  </si>
  <si>
    <t>C02A241641C2</t>
  </si>
  <si>
    <t>C02A250051C2</t>
  </si>
  <si>
    <t>C02A250283A3</t>
  </si>
  <si>
    <t>C02A241611C1</t>
  </si>
  <si>
    <t>C02A250261B1</t>
  </si>
  <si>
    <t>C02A250292B1</t>
  </si>
  <si>
    <t>C02A241551D2</t>
  </si>
  <si>
    <t>C02A250292C1</t>
  </si>
  <si>
    <t>C02A241611B3</t>
  </si>
  <si>
    <t>C02A241571D1</t>
  </si>
  <si>
    <t>C02A241631B2</t>
  </si>
  <si>
    <t>C02A241591C2</t>
  </si>
  <si>
    <t>C02A241641C1</t>
  </si>
  <si>
    <t>C02A241611B1</t>
  </si>
  <si>
    <t>C02A250163A2</t>
  </si>
  <si>
    <t>C02A241811B1</t>
  </si>
  <si>
    <t>C02A241874B1</t>
  </si>
  <si>
    <t>C02A241811B2</t>
  </si>
  <si>
    <t>C02A241881A1</t>
  </si>
  <si>
    <t>C02A241941B1</t>
  </si>
  <si>
    <t>C02A241881B1</t>
  </si>
  <si>
    <t>C02A241661B2</t>
  </si>
  <si>
    <t>C02A241791D1</t>
  </si>
  <si>
    <t>C02A250291B1</t>
  </si>
  <si>
    <t>C02A241751B1</t>
  </si>
  <si>
    <t>C02A250291B2</t>
  </si>
  <si>
    <t>C02A241661C3</t>
  </si>
  <si>
    <t>C02A250281G2</t>
  </si>
  <si>
    <t>C02A241561B2</t>
  </si>
  <si>
    <t>C02A241641A1</t>
  </si>
  <si>
    <t>C02A241761B4</t>
  </si>
  <si>
    <t>C02A241771A1</t>
  </si>
  <si>
    <t>C02A241912A1</t>
  </si>
  <si>
    <t>C02A250101B1</t>
  </si>
  <si>
    <t>C02A250201B1</t>
  </si>
  <si>
    <t>C02A250141B2</t>
  </si>
  <si>
    <t>C02A250271C3</t>
  </si>
  <si>
    <t>C02A250271D1</t>
  </si>
  <si>
    <t>C02A241792A1</t>
  </si>
  <si>
    <t>C02A250291D1</t>
  </si>
  <si>
    <t>C02A241641D1</t>
  </si>
  <si>
    <t>C02A241651A1</t>
  </si>
  <si>
    <t>C02A241651B2</t>
  </si>
  <si>
    <t>C02A241661D1</t>
  </si>
  <si>
    <t>C02A241661D2</t>
  </si>
  <si>
    <t>C02A241661D3</t>
  </si>
  <si>
    <t>C02A241912A3</t>
  </si>
  <si>
    <t>C02A250061B2</t>
  </si>
  <si>
    <t>C02A250061B3</t>
  </si>
  <si>
    <t>C02A250192B2</t>
  </si>
  <si>
    <t>C02A250111A1</t>
  </si>
  <si>
    <t>C02A241831E3</t>
  </si>
  <si>
    <t>C02A250354A3</t>
  </si>
  <si>
    <t>C02A250354B1</t>
  </si>
  <si>
    <t>C02A250354C1</t>
  </si>
  <si>
    <t>C02A250354C2</t>
  </si>
  <si>
    <t>C02A250354D1</t>
  </si>
  <si>
    <t>C02A250293A1</t>
  </si>
  <si>
    <t>C02A250341B2</t>
  </si>
  <si>
    <t>C02A250352A1</t>
  </si>
  <si>
    <t>C02A250352A2</t>
  </si>
  <si>
    <t>C02A250322B1</t>
  </si>
  <si>
    <t>C02A250311B2</t>
  </si>
  <si>
    <t>C02A250354A1</t>
  </si>
  <si>
    <t>C02A250364B1</t>
  </si>
  <si>
    <t>C02A250364B2</t>
  </si>
  <si>
    <t>C02A250364B3</t>
  </si>
  <si>
    <t>C02A250351A1</t>
  </si>
  <si>
    <t>C02A250351B1</t>
  </si>
  <si>
    <t>C02A250353B1</t>
  </si>
  <si>
    <t>C02A250344A2</t>
  </si>
  <si>
    <t>C02A250211E3</t>
  </si>
  <si>
    <t>C02A250242C2</t>
  </si>
  <si>
    <t>C02A250364A1</t>
  </si>
  <si>
    <t>C02A250382B1</t>
  </si>
  <si>
    <t>C02A250364C1</t>
  </si>
  <si>
    <t>C02A250382B2</t>
  </si>
  <si>
    <t>C02A250353B2</t>
  </si>
  <si>
    <t>C02A250384B1</t>
  </si>
  <si>
    <t>C02A250292C2</t>
  </si>
  <si>
    <t>C02A250391A1</t>
  </si>
  <si>
    <t>C02A250201D3</t>
  </si>
  <si>
    <t>C02A241911B1</t>
  </si>
  <si>
    <t>C02A241931B2</t>
  </si>
  <si>
    <t>C02A241911B2</t>
  </si>
  <si>
    <t>C02A241931E3</t>
  </si>
  <si>
    <t>C02A250042A1</t>
  </si>
  <si>
    <t>C02A250041A1</t>
  </si>
  <si>
    <t>C02A250173A1</t>
  </si>
  <si>
    <t>C02A250041C1</t>
  </si>
  <si>
    <t>C02A250242A2</t>
  </si>
  <si>
    <t>C02A250042B4</t>
  </si>
  <si>
    <t>C02A250242B2</t>
  </si>
  <si>
    <t>C02A250131A1</t>
  </si>
  <si>
    <t>C02A250251G1</t>
  </si>
  <si>
    <t>C02A250172A2</t>
  </si>
  <si>
    <t>C02A250271E1</t>
  </si>
  <si>
    <t>C02A250222A4</t>
  </si>
  <si>
    <t>C02A250303A3</t>
  </si>
  <si>
    <t>C02A250232B2</t>
  </si>
  <si>
    <t>C02A250321A1</t>
  </si>
  <si>
    <t>C02A250251F2</t>
  </si>
  <si>
    <t>C02A250341D2</t>
  </si>
  <si>
    <t>C02A250303A1</t>
  </si>
  <si>
    <t>C02A250322A3</t>
  </si>
  <si>
    <t>C02A250424A1</t>
  </si>
  <si>
    <t>C02A250251D2</t>
  </si>
  <si>
    <t>C02A250424A2</t>
  </si>
  <si>
    <t>C02A250251E1</t>
  </si>
  <si>
    <t>C02A250373B1</t>
  </si>
  <si>
    <t>C02A250414A1</t>
  </si>
  <si>
    <t>C02A250373B2</t>
  </si>
  <si>
    <t>C02A250414A2</t>
  </si>
  <si>
    <t>C02A250373A1</t>
  </si>
  <si>
    <t>C02A250414C1</t>
  </si>
  <si>
    <t>C02A250373A2</t>
  </si>
  <si>
    <t>C02A250394A3</t>
  </si>
  <si>
    <t>C02A250372B1</t>
  </si>
  <si>
    <t>C02A250394B1</t>
  </si>
  <si>
    <t>C02A250414B1</t>
  </si>
  <si>
    <t>C02A250372B2</t>
  </si>
  <si>
    <t>C02A250414B2</t>
  </si>
  <si>
    <t>C02A241922B2</t>
  </si>
  <si>
    <t>C02A250414C2</t>
  </si>
  <si>
    <t>C02A241931E1</t>
  </si>
  <si>
    <t>C02A250334A1</t>
  </si>
  <si>
    <t>C02A250262A2</t>
  </si>
  <si>
    <t>C02A250394C5</t>
  </si>
  <si>
    <t>C02A241833B1</t>
  </si>
  <si>
    <t>C02A250404A3</t>
  </si>
  <si>
    <t>C02A250272C2</t>
  </si>
  <si>
    <t>C02B241294C2</t>
  </si>
  <si>
    <t>L</t>
  </si>
  <si>
    <t>C02B241304A1</t>
  </si>
  <si>
    <t>C02B241382B1</t>
  </si>
  <si>
    <t>C02B241251B1</t>
  </si>
  <si>
    <t>CD2-8</t>
  </si>
  <si>
    <t>C02B241302A2</t>
  </si>
  <si>
    <t>C02B241283A3</t>
  </si>
  <si>
    <t>B12-10</t>
  </si>
  <si>
    <t>C02B241272A3</t>
  </si>
  <si>
    <t>B13-10</t>
  </si>
  <si>
    <t>C02B241251E1</t>
  </si>
  <si>
    <t>CE3-4</t>
  </si>
  <si>
    <t>C02B241261F2</t>
  </si>
  <si>
    <t>成C5-8</t>
  </si>
  <si>
    <t>C02B241294C3</t>
  </si>
  <si>
    <t>C02B241301A1</t>
  </si>
  <si>
    <t>C02B241301B1</t>
  </si>
  <si>
    <t>C02B241291C1</t>
  </si>
  <si>
    <t>XC5-2</t>
  </si>
  <si>
    <t>C02B241291C2</t>
  </si>
  <si>
    <t>XC5-4</t>
  </si>
  <si>
    <t>C02B241291G1</t>
  </si>
  <si>
    <t>XC6-4</t>
  </si>
  <si>
    <t>C02B241291G2</t>
  </si>
  <si>
    <t>XC7-2</t>
  </si>
  <si>
    <t>C02B241281C1</t>
  </si>
  <si>
    <t>成C4-8</t>
  </si>
  <si>
    <t>C02B241281C2</t>
  </si>
  <si>
    <t>B11-6</t>
  </si>
  <si>
    <t>C02B241263A1</t>
  </si>
  <si>
    <t>XC9-2</t>
  </si>
  <si>
    <t>C02B241281E1</t>
  </si>
  <si>
    <t>XB13-3</t>
  </si>
  <si>
    <t>C02B241384A1</t>
  </si>
  <si>
    <t>C-1-10</t>
  </si>
  <si>
    <t>C02B241384A2</t>
  </si>
  <si>
    <t>C-1-17</t>
  </si>
  <si>
    <t>C02A250344B2</t>
  </si>
  <si>
    <t>C02A250364C2</t>
  </si>
  <si>
    <t>C02A250344C1</t>
  </si>
  <si>
    <t>C02A250364D1</t>
  </si>
  <si>
    <t>C02A250344C3</t>
  </si>
  <si>
    <t>C02A250364D2</t>
  </si>
  <si>
    <t>C02A250304C2</t>
  </si>
  <si>
    <t>C02A250464C1</t>
  </si>
  <si>
    <t>C02A250294A1</t>
  </si>
  <si>
    <t>C02A250464C2</t>
  </si>
  <si>
    <t>C02A250354A2</t>
  </si>
  <si>
    <t>C02A250304B3</t>
  </si>
  <si>
    <t>C02A250274A1</t>
  </si>
  <si>
    <t>C02A250274A2</t>
  </si>
  <si>
    <t>C02A250444A1</t>
  </si>
  <si>
    <t>C02A250114C1</t>
  </si>
  <si>
    <t>C02A250244E2</t>
  </si>
  <si>
    <t>C02A250344C2</t>
  </si>
  <si>
    <t>C02A250134F1</t>
  </si>
  <si>
    <t>C02A250244E1</t>
  </si>
  <si>
    <t>C02A250484C1</t>
  </si>
  <si>
    <t>C02A250134F2</t>
  </si>
  <si>
    <t>C02A250134B1</t>
  </si>
  <si>
    <t>C02A250364E1</t>
  </si>
  <si>
    <t>C02A250381C1</t>
  </si>
  <si>
    <t>C02A250373A3</t>
  </si>
  <si>
    <t>C02A250292D2</t>
  </si>
  <si>
    <t>C02A250141A1</t>
  </si>
  <si>
    <t>C02A250141B1</t>
  </si>
  <si>
    <t>C02A250191F1</t>
  </si>
  <si>
    <t>C02A250471A1</t>
  </si>
  <si>
    <t>C02A250471D1</t>
  </si>
  <si>
    <t>C02A250423A2</t>
  </si>
  <si>
    <t>C02A250401B1</t>
  </si>
  <si>
    <t>C02A250401B2</t>
  </si>
  <si>
    <t>C02A250381D3</t>
  </si>
  <si>
    <t>C02A250403A1</t>
  </si>
  <si>
    <t>C02A250173A2</t>
  </si>
  <si>
    <t>C02A250403A2</t>
  </si>
  <si>
    <t>C02A250193A3</t>
  </si>
  <si>
    <t>C02A250404B3</t>
  </si>
  <si>
    <t>C02A250201D4</t>
  </si>
  <si>
    <t>C02A250461E1</t>
  </si>
  <si>
    <t>C02A250201E3</t>
  </si>
  <si>
    <t>C02A250461F1</t>
  </si>
  <si>
    <t>C02A250222A2</t>
  </si>
  <si>
    <t>C02A250462A1</t>
  </si>
  <si>
    <t>C02A250261D2</t>
  </si>
  <si>
    <t>C02A250462A2</t>
  </si>
  <si>
    <t>C02A250281G1</t>
  </si>
  <si>
    <t>C02A250393A1</t>
  </si>
  <si>
    <t>C02A250292A3</t>
  </si>
  <si>
    <t>C02A250393A2</t>
  </si>
  <si>
    <t>C02A250384A2</t>
  </si>
  <si>
    <t>C02A250481C2</t>
  </si>
  <si>
    <t>C02A250422A1</t>
  </si>
  <si>
    <t>C02A250443A2</t>
  </si>
  <si>
    <t>C02A250484B2</t>
  </si>
  <si>
    <t>C02A250313B2</t>
  </si>
  <si>
    <t>C02A250211D3</t>
  </si>
  <si>
    <t>C02A250231C3</t>
  </si>
  <si>
    <t>C02A250242A3</t>
  </si>
  <si>
    <t>C02A250242B3</t>
  </si>
  <si>
    <t>C02A250483B1</t>
  </si>
  <si>
    <t>C02A250404B2</t>
  </si>
  <si>
    <t>C02A250324C3</t>
  </si>
  <si>
    <t>C02A250413A1</t>
  </si>
  <si>
    <t>C02A241851B3</t>
  </si>
  <si>
    <t>C02A241751C1</t>
  </si>
  <si>
    <t>C02A241941A1</t>
  </si>
  <si>
    <t>C02A241791A1</t>
  </si>
  <si>
    <t>C02A241941C1</t>
  </si>
  <si>
    <t>C02A250051B2</t>
  </si>
  <si>
    <t>C02A241941C2</t>
  </si>
  <si>
    <t>C02A250081F3</t>
  </si>
  <si>
    <t>C02A250031A1</t>
  </si>
  <si>
    <t>C02A250152A2</t>
  </si>
  <si>
    <t>C02A250071B1</t>
  </si>
  <si>
    <t>C02A250254A1</t>
  </si>
  <si>
    <t>C02A250071B2</t>
  </si>
  <si>
    <t>C02A250271A1</t>
  </si>
  <si>
    <t>C02A250292D1</t>
  </si>
  <si>
    <t>C02A250381B1</t>
  </si>
  <si>
    <t>C02A250352B2</t>
  </si>
  <si>
    <t>C02A250381C2</t>
  </si>
  <si>
    <t>C02A250352C1</t>
  </si>
  <si>
    <t>C02A250491B2</t>
  </si>
  <si>
    <t>C02A250402B1</t>
  </si>
  <si>
    <t>C02A250503A1</t>
  </si>
  <si>
    <t>C02A250454B3</t>
  </si>
  <si>
    <t>C02A250512B2</t>
  </si>
  <si>
    <t>C02A250161A1</t>
  </si>
  <si>
    <t>C02A250523A1</t>
  </si>
  <si>
    <t>C02A250521C1</t>
  </si>
  <si>
    <t>C02A250522B1</t>
  </si>
  <si>
    <t>C02A250523B1</t>
  </si>
  <si>
    <t>C02A250524A1</t>
  </si>
  <si>
    <t>C02A250503B2</t>
  </si>
  <si>
    <t>C02A250324C1</t>
  </si>
  <si>
    <t>C02A241833B2</t>
  </si>
  <si>
    <t>C02A250511A1</t>
  </si>
  <si>
    <t>C02A250502B1</t>
  </si>
  <si>
    <t>C02A250523B2</t>
  </si>
  <si>
    <t>C02A250543B1</t>
  </si>
  <si>
    <t>C02A250521C2</t>
  </si>
  <si>
    <t>C02A250543B2</t>
  </si>
  <si>
    <t>C02A250522A1</t>
  </si>
  <si>
    <t>C02A250553A1</t>
  </si>
  <si>
    <t>C02A250522A2</t>
  </si>
  <si>
    <t>C02A250542A1</t>
  </si>
  <si>
    <t>C02A250472B1</t>
  </si>
  <si>
    <t>C02A250481E1</t>
  </si>
  <si>
    <t>C02A250472B2</t>
  </si>
  <si>
    <t>C02A250443A1</t>
  </si>
  <si>
    <t>C02A250473A1</t>
  </si>
  <si>
    <t>C02A250502A1</t>
  </si>
  <si>
    <t>C02A250463A1</t>
  </si>
  <si>
    <t>C02A250422A3</t>
  </si>
  <si>
    <t>C02A250463A2</t>
  </si>
  <si>
    <t>C02A250511D1</t>
  </si>
  <si>
    <t>C02A250281F3</t>
  </si>
  <si>
    <t>C02A250541A1</t>
  </si>
  <si>
    <t>C02A250291F1</t>
  </si>
  <si>
    <t>C02A250541B1</t>
  </si>
  <si>
    <t>C02A250553A2</t>
  </si>
  <si>
    <t>C02A250512B1</t>
  </si>
  <si>
    <t>C02A250503B1</t>
  </si>
  <si>
    <t>C02A250562C1</t>
  </si>
  <si>
    <t>C02A250521B2</t>
  </si>
  <si>
    <t>C02A250431C3</t>
  </si>
  <si>
    <t>C02A250463A3</t>
  </si>
  <si>
    <t>C02A250481D2</t>
  </si>
  <si>
    <t>C02A250482A1</t>
  </si>
  <si>
    <t>C02A250552A1</t>
  </si>
  <si>
    <t>C02A250552B1</t>
  </si>
  <si>
    <t>C02A241722A2</t>
  </si>
  <si>
    <t>C02A241751B2</t>
  </si>
  <si>
    <t>C02A250011C2</t>
  </si>
  <si>
    <t>C02A250051B3</t>
  </si>
  <si>
    <t>C02A250091A1</t>
  </si>
  <si>
    <t>C02A250092B3</t>
  </si>
  <si>
    <t>C02A250252A1</t>
  </si>
  <si>
    <t>C02A250311F3</t>
  </si>
  <si>
    <t>C02A250454A1</t>
  </si>
  <si>
    <t>C02A250454A2</t>
  </si>
  <si>
    <t>C02A250344B1</t>
  </si>
  <si>
    <t>C02A241854B2</t>
  </si>
  <si>
    <t>C02A241844E1</t>
  </si>
  <si>
    <t>C02A250134C3</t>
  </si>
  <si>
    <t>C02A250134A1</t>
  </si>
  <si>
    <t>C02A250154C2</t>
  </si>
  <si>
    <t>C02A250232A1</t>
  </si>
  <si>
    <t>C02A250333A2</t>
  </si>
  <si>
    <t>C02A250332A1</t>
  </si>
  <si>
    <t>C02A250362A1</t>
  </si>
  <si>
    <t>C02A250361E3</t>
  </si>
  <si>
    <t>C02A250392A2</t>
  </si>
  <si>
    <t>C02A250544A1</t>
  </si>
  <si>
    <t>C02A250474C1</t>
  </si>
  <si>
    <t>C02A250554B3</t>
  </si>
  <si>
    <t>C02A250474C2</t>
  </si>
  <si>
    <t>C02A250581D2</t>
  </si>
  <si>
    <t>C02A250484A1</t>
  </si>
  <si>
    <t>C02A250584B1</t>
  </si>
  <si>
    <t>C02A250512A2</t>
  </si>
  <si>
    <t>C02A250584B2</t>
  </si>
  <si>
    <t>C02A250584A3</t>
  </si>
  <si>
    <t>C02A250554B2</t>
  </si>
  <si>
    <t>C02A250574C2</t>
  </si>
  <si>
    <t>C02A250241E1</t>
  </si>
  <si>
    <t>C02A241751C2</t>
  </si>
  <si>
    <t>C02A241871B1</t>
  </si>
  <si>
    <t>C02A241884B2</t>
  </si>
  <si>
    <t>C02A250021B1</t>
  </si>
  <si>
    <t>C02A250031D1</t>
  </si>
  <si>
    <t>C02A250401B3</t>
  </si>
  <si>
    <t>C02A250441B1</t>
  </si>
  <si>
    <t>C02A250504A2</t>
  </si>
  <si>
    <t>C02A250601B3</t>
  </si>
  <si>
    <t>C02A250591D1</t>
  </si>
  <si>
    <t>C02A250604B1</t>
  </si>
  <si>
    <t>C02A250633A1</t>
  </si>
  <si>
    <t>C02A250633B1</t>
  </si>
  <si>
    <t>C02A250633B2</t>
  </si>
  <si>
    <t>C02A250634A1</t>
  </si>
  <si>
    <t>C02A250603A1</t>
  </si>
  <si>
    <t>C02A250542B1</t>
  </si>
  <si>
    <t>C02A250543A1</t>
  </si>
  <si>
    <t>C02A250293A4</t>
  </si>
  <si>
    <t>C02A250351C2</t>
  </si>
  <si>
    <t>C02A250613A2</t>
  </si>
  <si>
    <t>C02A250481A1</t>
  </si>
  <si>
    <t>C02A250481B1</t>
  </si>
  <si>
    <t>C02A250621B1</t>
  </si>
  <si>
    <t>C02A250621D2</t>
  </si>
  <si>
    <t>C02A250632B1</t>
  </si>
  <si>
    <t>C02A250642A1</t>
  </si>
  <si>
    <t>C02A250632C1</t>
  </si>
  <si>
    <t>C02A250622A1</t>
  </si>
  <si>
    <t>C02A250632C2</t>
  </si>
  <si>
    <t>C02A250622A2</t>
  </si>
  <si>
    <t>C02A250632D1</t>
  </si>
  <si>
    <t>C02A250622C1</t>
  </si>
  <si>
    <t>C02A250641C1</t>
  </si>
  <si>
    <t>C02A250621F1</t>
  </si>
  <si>
    <t>C02A250631D1</t>
  </si>
  <si>
    <t>C02A250613A1</t>
  </si>
  <si>
    <t>C02A250632A1</t>
  </si>
  <si>
    <t>C02A250613A3</t>
  </si>
  <si>
    <t>C02A250632A2</t>
  </si>
  <si>
    <t>C02A250602A1</t>
  </si>
  <si>
    <t>C02A250593B1</t>
  </si>
  <si>
    <t>C02A250661C2</t>
  </si>
  <si>
    <t>C02A250641B2</t>
  </si>
  <si>
    <t>C02A250631D2</t>
  </si>
  <si>
    <t>C02A250482B2</t>
  </si>
  <si>
    <t>C02A250431C2</t>
  </si>
  <si>
    <t>C02A250412A2</t>
  </si>
  <si>
    <t>C02A250661D1</t>
  </si>
  <si>
    <t>C02A250662A1</t>
  </si>
  <si>
    <t>C02A250662A2</t>
  </si>
  <si>
    <t>C02A250662B1</t>
  </si>
  <si>
    <t>C02A250651C2</t>
  </si>
  <si>
    <t>C02A250611D1</t>
  </si>
  <si>
    <t>C02A250652A2</t>
  </si>
  <si>
    <t>C02A250641E1</t>
  </si>
  <si>
    <t>C02A250642C1</t>
  </si>
  <si>
    <t>C02A250642B1</t>
  </si>
  <si>
    <t>C02A250622B1</t>
  </si>
  <si>
    <t>C02A250341E3</t>
  </si>
  <si>
    <t>C02A250641C2</t>
  </si>
  <si>
    <t>C02A250641C3</t>
  </si>
  <si>
    <t>C02A250641D1</t>
  </si>
  <si>
    <t>C02A250642A2</t>
  </si>
  <si>
    <t>C02A250654A4</t>
  </si>
  <si>
    <t>C02A250603A2</t>
  </si>
  <si>
    <t>C02A250604A1</t>
  </si>
  <si>
    <t>C02A250304A2</t>
  </si>
  <si>
    <t>C02A250193A1</t>
  </si>
  <si>
    <t>C02A250614A2</t>
  </si>
  <si>
    <t>C02A250101G1</t>
  </si>
  <si>
    <t>C02A250021C2</t>
  </si>
  <si>
    <t>C02A250264B2</t>
  </si>
  <si>
    <t>LX</t>
  </si>
  <si>
    <t>C02A250083B1</t>
  </si>
  <si>
    <t>C02A250343A3</t>
  </si>
  <si>
    <t>C02A250111D1</t>
  </si>
  <si>
    <t>C02A250471D3</t>
  </si>
  <si>
    <t>C02A250482B1</t>
  </si>
  <si>
    <t>C02A250263B2</t>
  </si>
  <si>
    <t>C02A250514C1</t>
  </si>
  <si>
    <t>C02A250281F2</t>
  </si>
  <si>
    <t>C02A250534B1</t>
  </si>
  <si>
    <t>C02A250324A3</t>
  </si>
  <si>
    <t>C02A250551B2</t>
  </si>
  <si>
    <t>C02A250483A1</t>
  </si>
  <si>
    <t>C02A250653A1</t>
  </si>
  <si>
    <t>C02A250584C1</t>
  </si>
  <si>
    <t>C02A250654A1</t>
  </si>
  <si>
    <t>C02A250584C2</t>
  </si>
  <si>
    <t>C02A250084B1</t>
  </si>
  <si>
    <t>C02A250621E2</t>
  </si>
  <si>
    <t>C02A250184B3</t>
  </si>
  <si>
    <t>C02A250084A2</t>
  </si>
  <si>
    <t>C02A241711B3</t>
  </si>
  <si>
    <t>C02A250272A1</t>
  </si>
  <si>
    <t>C02A250552B2</t>
  </si>
  <si>
    <t>C02A250144A1</t>
  </si>
  <si>
    <t>C02A250121D2</t>
  </si>
  <si>
    <t>C02A250272A2</t>
  </si>
  <si>
    <t>C02A250272B1</t>
  </si>
  <si>
    <t>C02A250292A1</t>
  </si>
  <si>
    <t>C02A250281F1</t>
  </si>
  <si>
    <t>C02A250343A1</t>
  </si>
  <si>
    <t>C02A250292A2</t>
  </si>
  <si>
    <t>C02A250584A2</t>
  </si>
  <si>
    <t>C02A250322A2</t>
  </si>
  <si>
    <t>C02A250601D1</t>
  </si>
  <si>
    <t>C02A250322B2</t>
  </si>
  <si>
    <t>C02A250631C2</t>
  </si>
  <si>
    <t>C02A250584A1</t>
  </si>
  <si>
    <t>C02A250651C4</t>
  </si>
  <si>
    <t>C02A250593B2</t>
  </si>
  <si>
    <t>C02A250671C2</t>
  </si>
  <si>
    <t>C02A250691C3</t>
  </si>
  <si>
    <t>C02A250682A2</t>
  </si>
  <si>
    <t>C02A250701C1</t>
  </si>
  <si>
    <t>C02A250712A2</t>
  </si>
  <si>
    <t>C02A250241E2</t>
  </si>
  <si>
    <t>C02A250262A3</t>
  </si>
  <si>
    <t>C02A250751D1</t>
  </si>
  <si>
    <t>C02A250342A1</t>
  </si>
  <si>
    <t>C02A250342A2</t>
  </si>
  <si>
    <t>C02A250102A1</t>
  </si>
  <si>
    <t>C02A250042B2</t>
  </si>
  <si>
    <t>C02A250171D3</t>
  </si>
  <si>
    <t>C02A250042B3</t>
  </si>
  <si>
    <t>C02A250172B1</t>
  </si>
  <si>
    <t>C02A250251D3</t>
  </si>
  <si>
    <t>C02A250172C1</t>
  </si>
  <si>
    <t>C02A250322A1</t>
  </si>
  <si>
    <t>C02A250193A2</t>
  </si>
  <si>
    <t>C02A250363A2</t>
  </si>
  <si>
    <t>C02A250211E1</t>
  </si>
  <si>
    <t>C02A250363B1</t>
  </si>
  <si>
    <t>C02A250321G1</t>
  </si>
  <si>
    <t>C02A250531C1</t>
  </si>
  <si>
    <t>C02A250363A1</t>
  </si>
  <si>
    <t>C02A250631C3</t>
  </si>
  <si>
    <t>C02A250384A1</t>
  </si>
  <si>
    <t>C02A250691C1</t>
  </si>
  <si>
    <t>C02A250631C1</t>
  </si>
  <si>
    <t>C02A250701D1</t>
  </si>
  <si>
    <t>C02A250681E1</t>
  </si>
  <si>
    <t>C02A250383A2</t>
  </si>
  <si>
    <t>C02A250762A2</t>
  </si>
  <si>
    <t>C02A250762A3</t>
  </si>
  <si>
    <t>C02A241671B1</t>
  </si>
  <si>
    <t>C02A241681C1</t>
  </si>
  <si>
    <t>C02A241691B1</t>
  </si>
  <si>
    <t>C02A241691C1</t>
  </si>
  <si>
    <t>C02A241691C2</t>
  </si>
  <si>
    <t>C02A241691D4</t>
  </si>
  <si>
    <t>C02A250031C1</t>
  </si>
  <si>
    <t>C02A250031D2</t>
  </si>
  <si>
    <t>C02A241801B3</t>
  </si>
  <si>
    <t>C02A250071D2</t>
  </si>
  <si>
    <t>C02A250032C2</t>
  </si>
  <si>
    <t>C02A241831C1</t>
  </si>
  <si>
    <t>C02A250302B1</t>
  </si>
  <si>
    <t>C02A250101D1</t>
  </si>
  <si>
    <t>C02A250021B2</t>
  </si>
  <si>
    <t>C02A250401A1</t>
  </si>
  <si>
    <t>C02A250031C3</t>
  </si>
  <si>
    <t>C02A250041B1</t>
  </si>
  <si>
    <t>C02A250281B1</t>
  </si>
  <si>
    <t>C02A250051E2</t>
  </si>
  <si>
    <t>C02A250041B2</t>
  </si>
  <si>
    <t>C02A250102C1</t>
  </si>
  <si>
    <t>C02A250041C2</t>
  </si>
  <si>
    <t>C02A250331A1</t>
  </si>
  <si>
    <t>C02A250221A1</t>
  </si>
  <si>
    <t>C02A250281A1</t>
  </si>
  <si>
    <t>C02A250391E1</t>
  </si>
  <si>
    <t>C02A250253A2</t>
  </si>
  <si>
    <t>C02A250291C3</t>
  </si>
  <si>
    <t>C02A250601B1</t>
  </si>
  <si>
    <t>C02A250361A1</t>
  </si>
  <si>
    <t>C02A250371B2</t>
  </si>
  <si>
    <t>C02A250631B2</t>
  </si>
  <si>
    <t>C02A250581C1</t>
  </si>
  <si>
    <t>C02A250782C2</t>
  </si>
  <si>
    <t>C02A250771C1</t>
  </si>
  <si>
    <t>C02A250171B2</t>
  </si>
  <si>
    <t>C02A241821C2</t>
  </si>
  <si>
    <t>C02A241911C2</t>
  </si>
  <si>
    <t>C02A241871E2</t>
  </si>
  <si>
    <t>C02A241711B2</t>
  </si>
  <si>
    <t>C02A250141C3</t>
  </si>
  <si>
    <t>C02A241933B1</t>
  </si>
  <si>
    <t>C02A250011B3</t>
  </si>
  <si>
    <t>C02A250141D1</t>
  </si>
  <si>
    <t>C02A250021C1</t>
  </si>
  <si>
    <t>C02A250031C2</t>
  </si>
  <si>
    <t>C02A250051B1</t>
  </si>
  <si>
    <t>C02A250051E1</t>
  </si>
  <si>
    <t>C02A250071D1</t>
  </si>
  <si>
    <t>C02A250091B2</t>
  </si>
  <si>
    <t>C02A250091B1</t>
  </si>
  <si>
    <t>C02A250271B1</t>
  </si>
  <si>
    <t>C02A250361E1</t>
  </si>
  <si>
    <t>C02A250323A2</t>
  </si>
  <si>
    <t>C02A250811B1</t>
  </si>
  <si>
    <t>C02A250441A1</t>
  </si>
  <si>
    <t>C02A250831A1</t>
  </si>
  <si>
    <t>C02A250631A1</t>
  </si>
  <si>
    <t>C02A250831B1</t>
  </si>
  <si>
    <t>C02A250771B1</t>
  </si>
  <si>
    <t>C02A250701B1</t>
  </si>
  <si>
    <t>C02A241781B2</t>
  </si>
  <si>
    <t>C02A250691A1</t>
  </si>
  <si>
    <t>C02A250133B1</t>
  </si>
  <si>
    <t>C02A250271B2</t>
  </si>
  <si>
    <t>C02B241261E2</t>
  </si>
  <si>
    <t>XB9-3</t>
  </si>
  <si>
    <t>C02B241291F3</t>
  </si>
  <si>
    <t>XC7-4</t>
  </si>
  <si>
    <t>C02A250831C2</t>
  </si>
  <si>
    <t>C02A250841C2</t>
  </si>
  <si>
    <t>C02A250851D1</t>
  </si>
  <si>
    <t>C02B241241C1</t>
  </si>
  <si>
    <t>XB6-1</t>
  </si>
  <si>
    <t>C02B241261C1</t>
  </si>
  <si>
    <t>A4-6</t>
  </si>
  <si>
    <t>C02B241261D1</t>
  </si>
  <si>
    <t>XC9-1</t>
  </si>
  <si>
    <t>C02B241272B1</t>
  </si>
  <si>
    <t>B13-8</t>
  </si>
  <si>
    <t>C02B241262A1</t>
  </si>
  <si>
    <t>XC8-2</t>
  </si>
  <si>
    <t>C02B241261A1</t>
  </si>
  <si>
    <t>A-4-15</t>
  </si>
  <si>
    <t>C02B241261E1</t>
  </si>
  <si>
    <t>C02A250723A3</t>
  </si>
  <si>
    <t>C02B241251F1</t>
  </si>
  <si>
    <t>CC1-8</t>
  </si>
  <si>
    <t>C02A250772C2</t>
  </si>
  <si>
    <t>C02A250753A1</t>
  </si>
  <si>
    <t>C02B241291E1</t>
  </si>
  <si>
    <t>XA13-3</t>
  </si>
  <si>
    <t>C02A250723A2</t>
  </si>
  <si>
    <t>C02A250693A2</t>
  </si>
  <si>
    <t>C02A250672A3</t>
  </si>
  <si>
    <t>C02B241232B1</t>
  </si>
  <si>
    <t>C02B241292A1</t>
  </si>
  <si>
    <t>C-1-15</t>
  </si>
  <si>
    <t>C02B241261F1</t>
  </si>
  <si>
    <t>XC8-3</t>
  </si>
  <si>
    <t>C02B241243A1</t>
  </si>
  <si>
    <t>XC13-3</t>
  </si>
  <si>
    <t>C02B241291G4</t>
  </si>
  <si>
    <t>XC7-3</t>
  </si>
  <si>
    <t>C02B241294A2</t>
  </si>
  <si>
    <t>A-4-16</t>
  </si>
  <si>
    <t>C02B241241A1</t>
  </si>
  <si>
    <t>XB11-1</t>
  </si>
  <si>
    <t>C02A250691C2</t>
  </si>
  <si>
    <t>C02A250852A1</t>
  </si>
  <si>
    <t>C02A250652A1</t>
  </si>
  <si>
    <t>C02A250692A1</t>
  </si>
  <si>
    <t>C02A250772B2</t>
  </si>
  <si>
    <t>C02A250772C1</t>
  </si>
  <si>
    <t>C02A241583B1</t>
  </si>
  <si>
    <t>C02A250124C2</t>
  </si>
  <si>
    <t>C02A250263B3</t>
  </si>
  <si>
    <t>C02A250614A1</t>
  </si>
  <si>
    <t>C02A250653A2</t>
  </si>
  <si>
    <t>C02A250653B1</t>
  </si>
  <si>
    <t>C02A250751D2</t>
  </si>
  <si>
    <t>C02A241854A1</t>
  </si>
  <si>
    <t>C02A250231D1</t>
  </si>
  <si>
    <t>C02A250251D1</t>
  </si>
  <si>
    <t>C02A250844A2</t>
  </si>
  <si>
    <t>C02A250744A1</t>
  </si>
  <si>
    <t>C02A241654A2</t>
  </si>
  <si>
    <t>C02A250174B2</t>
  </si>
  <si>
    <t>C02A250213A2</t>
  </si>
  <si>
    <t>C02A250394C3</t>
  </si>
  <si>
    <t>C02A250394C4</t>
  </si>
  <si>
    <t>C02A250771C2</t>
  </si>
  <si>
    <t>C02A250851C2</t>
  </si>
  <si>
    <t>C02A241912A2</t>
  </si>
  <si>
    <t>C02A250231D3</t>
  </si>
  <si>
    <t>C02A250761C1</t>
  </si>
  <si>
    <t>C02A250671D1</t>
  </si>
  <si>
    <t>C02A250773A1</t>
  </si>
  <si>
    <t>C02A250783A1</t>
  </si>
  <si>
    <t>C02A241824C2</t>
  </si>
  <si>
    <t>C02A241844C1</t>
  </si>
  <si>
    <t>C02A241864B1</t>
  </si>
  <si>
    <t>C02A241864C2</t>
  </si>
  <si>
    <t>C02A250222A1</t>
  </si>
  <si>
    <t>C02A250304C1</t>
  </si>
  <si>
    <t>C02A250513A2</t>
  </si>
  <si>
    <t>C02A250594A1</t>
  </si>
  <si>
    <t>C02A250594A2</t>
  </si>
  <si>
    <t>C02A250594B1</t>
  </si>
  <si>
    <t>C02A241901E1</t>
  </si>
  <si>
    <t>C02A241901E2</t>
  </si>
  <si>
    <t>C02A250624A1</t>
  </si>
  <si>
    <t>C02A250614B1</t>
  </si>
  <si>
    <t>C02A241884B1</t>
  </si>
  <si>
    <t>C02A250313A1</t>
  </si>
  <si>
    <t>C02A250664A2</t>
  </si>
  <si>
    <t>C02A250673A2</t>
  </si>
  <si>
    <t>C02A250763A2</t>
  </si>
  <si>
    <t>C02A251004A1</t>
  </si>
  <si>
    <t>C02A251004A2</t>
  </si>
  <si>
    <t>C02A250944A2</t>
  </si>
  <si>
    <t>C02A250904B1</t>
  </si>
  <si>
    <t>C02A250904C1</t>
  </si>
  <si>
    <t>C02A250904C2</t>
  </si>
  <si>
    <t>C02A250963A1</t>
  </si>
  <si>
    <t>C02A250963A2</t>
  </si>
  <si>
    <t>C02A250964A3</t>
  </si>
  <si>
    <t>C02A250964B1</t>
  </si>
  <si>
    <t>C02A250964B2</t>
  </si>
  <si>
    <t>C02A250964C1</t>
  </si>
  <si>
    <t>C02A250972A2</t>
  </si>
  <si>
    <t>C02A250972B1</t>
  </si>
  <si>
    <t>C02A250964A1</t>
  </si>
  <si>
    <t>C02A250964A2</t>
  </si>
  <si>
    <t>C02A250984C1</t>
  </si>
  <si>
    <t>C02A250984C2</t>
  </si>
  <si>
    <t>C02A250984B1</t>
  </si>
  <si>
    <t>C02A250974C1</t>
  </si>
  <si>
    <t>C02A250974C2</t>
  </si>
  <si>
    <t>C02A241741C2</t>
  </si>
  <si>
    <t>二氧化硫</t>
  </si>
  <si>
    <t>C02A250654A3</t>
  </si>
  <si>
    <t>C02A250764A1</t>
  </si>
  <si>
    <t>C02A250764A2</t>
  </si>
  <si>
    <t>C02A250754B1</t>
  </si>
  <si>
    <t>C02A250763B1</t>
  </si>
  <si>
    <t>C02A250752C3</t>
  </si>
  <si>
    <t>C02A250954A2</t>
  </si>
  <si>
    <t>C02A250992A2</t>
  </si>
  <si>
    <t>24LMB0824E1</t>
  </si>
  <si>
    <t>C02A250864B2</t>
  </si>
  <si>
    <t>C02A250954A1</t>
  </si>
  <si>
    <t>C02A250344A1</t>
  </si>
  <si>
    <t>C02A250293A3</t>
  </si>
  <si>
    <t>C02A250794B2</t>
  </si>
  <si>
    <t>C02A250784A1</t>
  </si>
  <si>
    <t>C02A251004B1</t>
  </si>
  <si>
    <t>C02A251024A2</t>
  </si>
  <si>
    <t>C02A250013A2</t>
  </si>
  <si>
    <t>C02A251024A3</t>
  </si>
  <si>
    <t>C02A251024B1</t>
  </si>
  <si>
    <t>C02A251053A1</t>
  </si>
  <si>
    <t>C02A251013A1</t>
  </si>
  <si>
    <t>C02A250283C1</t>
  </si>
  <si>
    <t>C02A251013A2</t>
  </si>
  <si>
    <t>C02A250343A2</t>
  </si>
  <si>
    <t>C02A251114G1</t>
  </si>
  <si>
    <t>C02A250102C2</t>
  </si>
  <si>
    <t>C02A251114G2</t>
  </si>
  <si>
    <t>C02A251001B3</t>
  </si>
  <si>
    <t>C02A251032C1</t>
  </si>
  <si>
    <t>C02A250981E2</t>
  </si>
  <si>
    <t>C02A251114D1</t>
  </si>
  <si>
    <t>C02A251002B2</t>
  </si>
  <si>
    <t>C02A251114F1</t>
  </si>
  <si>
    <t>24LMB0224B2</t>
  </si>
  <si>
    <t>C02A250574B1</t>
  </si>
  <si>
    <t>C02A250324C2</t>
  </si>
  <si>
    <t>C02A251102B1</t>
  </si>
  <si>
    <t>C02A250512A1</t>
  </si>
  <si>
    <t>C02A250244C1</t>
  </si>
  <si>
    <t>C02A250494G2</t>
  </si>
  <si>
    <t>C02A250962B2</t>
  </si>
  <si>
    <t>C02A250634A2</t>
  </si>
  <si>
    <t>C02A250944A1</t>
  </si>
  <si>
    <t>C02A250244C2</t>
  </si>
  <si>
    <t>C02A251104B1</t>
  </si>
  <si>
    <t>C02A250693A1</t>
  </si>
  <si>
    <t>C02A250962A2</t>
  </si>
  <si>
    <t>C02A251051D1</t>
  </si>
  <si>
    <t>C02A250962B1</t>
  </si>
  <si>
    <t>24LMB0992A1</t>
  </si>
  <si>
    <t>C02A250991C1</t>
  </si>
  <si>
    <t>C02A251062A1</t>
  </si>
  <si>
    <t>C02A250683A2</t>
  </si>
  <si>
    <t>C02A250974A2</t>
  </si>
  <si>
    <t>C02A250724A1</t>
  </si>
  <si>
    <t>C02A250974B1</t>
  </si>
  <si>
    <t>C02A250883A2</t>
  </si>
  <si>
    <t>C02A250983A1</t>
  </si>
  <si>
    <t>C02A250323A3</t>
  </si>
  <si>
    <t>C02A250683A3</t>
  </si>
  <si>
    <t>C02A250953A2</t>
  </si>
  <si>
    <t>C02A250953B1</t>
  </si>
  <si>
    <t>23LMB1534C1</t>
  </si>
  <si>
    <t>24LMB1154C1</t>
  </si>
  <si>
    <t>C02A250133A1</t>
  </si>
  <si>
    <t>C02A250353A2</t>
  </si>
  <si>
    <t>C02A250434B2</t>
  </si>
  <si>
    <t>C02A250562A1</t>
  </si>
  <si>
    <t>C02A250611D2</t>
  </si>
  <si>
    <t>C02A250771C3</t>
  </si>
  <si>
    <t>C02A250804A1</t>
  </si>
  <si>
    <t>C02A251054A1</t>
  </si>
  <si>
    <t>C02A251081A1</t>
  </si>
  <si>
    <t>C02A251084A1</t>
  </si>
  <si>
    <t>C02A251111B1</t>
  </si>
  <si>
    <t>C02A251111D1</t>
  </si>
  <si>
    <t>C02A250882B3</t>
  </si>
  <si>
    <t>C02A250934B2</t>
  </si>
  <si>
    <t>C02A250954B1</t>
  </si>
  <si>
    <t>C02A250844B1</t>
  </si>
  <si>
    <t>C02A250973A1</t>
  </si>
  <si>
    <t>C02A250882B2</t>
  </si>
  <si>
    <t>C02A250703A1</t>
  </si>
  <si>
    <t>C02A251103A2</t>
  </si>
  <si>
    <t>C02A251122A1</t>
  </si>
  <si>
    <t>C02A250152B2</t>
  </si>
  <si>
    <t>C02A250172A3</t>
  </si>
  <si>
    <t>C02A251091D1</t>
  </si>
  <si>
    <t>C02A250312A3</t>
  </si>
  <si>
    <t>C02A250312C1</t>
  </si>
  <si>
    <t>C02A250931B3</t>
  </si>
  <si>
    <t>C02A250252A2</t>
  </si>
  <si>
    <t>C02A250283A1</t>
  </si>
  <si>
    <t>C02A250601E1</t>
  </si>
  <si>
    <t>C02A251001C2</t>
  </si>
  <si>
    <t>C02A250032C3</t>
  </si>
  <si>
    <t>C02A251121B2</t>
  </si>
  <si>
    <t>C02A251121C1</t>
  </si>
  <si>
    <t>C02A251122A2</t>
  </si>
  <si>
    <t>C02A251131A1</t>
  </si>
  <si>
    <t>C02A250331E2</t>
  </si>
  <si>
    <t>C02A251091B1</t>
  </si>
  <si>
    <t>C02A250461C1</t>
  </si>
  <si>
    <t>C02A250081F2</t>
  </si>
  <si>
    <t>C02A250121D1</t>
  </si>
  <si>
    <t>C02A251113A2</t>
  </si>
  <si>
    <t>C02A250783A2</t>
  </si>
  <si>
    <t>C02A251071C1</t>
  </si>
  <si>
    <t>C02A251114B1</t>
  </si>
  <si>
    <t>C02A251121A1</t>
  </si>
  <si>
    <t>C02A251044A1</t>
  </si>
  <si>
    <t>C02A251133A1</t>
  </si>
  <si>
    <t>C02A251114E1</t>
  </si>
  <si>
    <t>C02A251123A1</t>
  </si>
  <si>
    <t>C02A251121B1</t>
  </si>
  <si>
    <t>C02A251072C1</t>
  </si>
  <si>
    <t>C02A250094B1</t>
  </si>
  <si>
    <t>C02A251044B1</t>
  </si>
  <si>
    <t>C02A251034C1</t>
  </si>
  <si>
    <t>24LMB0972C1</t>
  </si>
  <si>
    <t>C02A251062B1</t>
  </si>
  <si>
    <t>C02A251071B2</t>
  </si>
  <si>
    <t>24LMB0972C2</t>
  </si>
  <si>
    <t>C02A251061C1</t>
  </si>
  <si>
    <t>C02A250342B1</t>
  </si>
  <si>
    <t>C02A250143A2</t>
  </si>
  <si>
    <t>C02A251051C1</t>
  </si>
  <si>
    <t>C02A250321F1</t>
  </si>
  <si>
    <t>C02A250973A3</t>
  </si>
  <si>
    <t>C02A251091C1</t>
  </si>
  <si>
    <t>C02A251041A1</t>
  </si>
  <si>
    <t>C02A250792C2</t>
  </si>
  <si>
    <t>C02A251022B2</t>
  </si>
  <si>
    <t>C02A250942B2</t>
  </si>
  <si>
    <t>C02A251124A1</t>
  </si>
  <si>
    <t>C02A251073A1</t>
  </si>
  <si>
    <t>C02A251112A1</t>
  </si>
  <si>
    <t>C02A251111F1</t>
  </si>
  <si>
    <t>C02A251091E1</t>
  </si>
  <si>
    <t>C02A251042B1</t>
  </si>
  <si>
    <t>C02A250661B3</t>
  </si>
  <si>
    <t>C02A250661C1</t>
  </si>
  <si>
    <t>C02A251112B1</t>
  </si>
  <si>
    <t>C02A250661B2</t>
  </si>
  <si>
    <t>C02A251092B1</t>
  </si>
  <si>
    <t>C02A251001C1</t>
  </si>
  <si>
    <t>C02A251113A1</t>
  </si>
  <si>
    <t>C02A251101D1</t>
  </si>
  <si>
    <t>C02A251102C1</t>
  </si>
  <si>
    <t>C02A251092A1</t>
  </si>
  <si>
    <t>C02A251041C1</t>
  </si>
  <si>
    <t>C02A250941C4</t>
  </si>
  <si>
    <t>C02A251191B2</t>
  </si>
  <si>
    <t>C02A251191D1</t>
  </si>
  <si>
    <t>C02A241884A1</t>
  </si>
  <si>
    <t>C02A251013B1</t>
  </si>
  <si>
    <t>C02A250943A2</t>
  </si>
  <si>
    <t>C02A250943B1</t>
  </si>
  <si>
    <t>C02A251094B1</t>
  </si>
  <si>
    <t>C02A250244D1</t>
  </si>
  <si>
    <t>C02A250831B3</t>
  </si>
  <si>
    <t>C02A250981E1</t>
  </si>
  <si>
    <t>C02A251071D1</t>
  </si>
  <si>
    <t>C02A251072A1</t>
  </si>
  <si>
    <t>C02A250883A1</t>
  </si>
  <si>
    <t>C02A251003B1</t>
  </si>
  <si>
    <t>C02A250264B1</t>
  </si>
  <si>
    <t>C02A251094D1</t>
  </si>
  <si>
    <t>C02A250864A3</t>
  </si>
  <si>
    <t>C02A251093B1</t>
  </si>
  <si>
    <t>C02A250933B1</t>
  </si>
  <si>
    <t>C02A250251F1</t>
  </si>
  <si>
    <t>C02A251104E1</t>
  </si>
  <si>
    <t>C02A251104A1</t>
  </si>
  <si>
    <t>C02A250171D1</t>
  </si>
  <si>
    <t>C02A250544B2</t>
  </si>
  <si>
    <t>C02A250654A2</t>
  </si>
  <si>
    <t>C02A250933A1</t>
  </si>
  <si>
    <t>C02A250864B1</t>
  </si>
  <si>
    <t>C02A251054B1</t>
  </si>
  <si>
    <t>C02A250933A2</t>
  </si>
  <si>
    <t>C02A251014A2</t>
  </si>
  <si>
    <t>C02A250544B1</t>
  </si>
  <si>
    <t>C02A250594B2</t>
  </si>
  <si>
    <t>C02A250882C1</t>
  </si>
  <si>
    <t>C02A250251C3</t>
  </si>
  <si>
    <t>C02A241814B1</t>
  </si>
  <si>
    <t>C02A251004C1</t>
  </si>
  <si>
    <t>C02A250942B3</t>
  </si>
  <si>
    <t>C02A251004C2</t>
  </si>
  <si>
    <t>C02A250932B2</t>
  </si>
  <si>
    <t>C02A250604C3</t>
  </si>
  <si>
    <t>C02A250942B4</t>
  </si>
  <si>
    <t>C02A250673A3</t>
  </si>
  <si>
    <t>C02A250811D2</t>
  </si>
  <si>
    <t>C02A251064A1</t>
  </si>
  <si>
    <t>C02A250974A1</t>
  </si>
  <si>
    <t>C02A251204E1</t>
  </si>
  <si>
    <t>C02A251204E2</t>
  </si>
  <si>
    <t>C02A250794B1</t>
  </si>
  <si>
    <t>C02A251203A2</t>
  </si>
  <si>
    <t>C02A251104D1</t>
  </si>
  <si>
    <t>C02A251043A1</t>
  </si>
  <si>
    <t>C02A251023B2</t>
  </si>
  <si>
    <t>C02A250983A2</t>
  </si>
  <si>
    <t>C02A251024A1</t>
  </si>
  <si>
    <t>C02A251114A1</t>
  </si>
  <si>
    <t>C02A251063B1</t>
  </si>
  <si>
    <t>C02A250973A2</t>
  </si>
  <si>
    <t>C02A251194B1</t>
  </si>
  <si>
    <t>C02A251194B2</t>
  </si>
  <si>
    <t>C02A251003A1</t>
  </si>
  <si>
    <t>C02A250124C1</t>
  </si>
  <si>
    <t>C02A250171A1</t>
  </si>
  <si>
    <t>C02A251194C1</t>
  </si>
  <si>
    <t>C02A251194D1</t>
  </si>
  <si>
    <t>C02A251062C1</t>
  </si>
  <si>
    <t>C02A251194D2</t>
  </si>
  <si>
    <t>C02A250703A2</t>
  </si>
  <si>
    <t>C02A250703A3</t>
  </si>
  <si>
    <t>C02A251194A1</t>
  </si>
  <si>
    <t>C02A250712B1</t>
  </si>
  <si>
    <t>C02A250792B2</t>
  </si>
  <si>
    <t>C02A250812A1</t>
  </si>
  <si>
    <t>C02A250942A1</t>
  </si>
  <si>
    <t>C02A250942B1</t>
  </si>
  <si>
    <t>C02A251002A3</t>
  </si>
  <si>
    <t>C02A251002B1</t>
  </si>
  <si>
    <t>C02A251012B2</t>
  </si>
  <si>
    <t>C02A251032A2</t>
  </si>
  <si>
    <t>C02A251052A2</t>
  </si>
  <si>
    <t>C02A251073B1</t>
  </si>
  <si>
    <t>C02A251082D1</t>
  </si>
  <si>
    <t>C02A251213A1</t>
  </si>
  <si>
    <t>C02A250931C2</t>
  </si>
  <si>
    <t>C02A251012C1</t>
  </si>
  <si>
    <t>C02A251021C3</t>
  </si>
  <si>
    <t>C02A251221C1</t>
  </si>
  <si>
    <t>24LMB0981B1</t>
  </si>
  <si>
    <t>C02A251221C2</t>
  </si>
  <si>
    <t>24LMB0981C2</t>
  </si>
  <si>
    <t>C02A251221D1</t>
  </si>
  <si>
    <t>C02A241711C1</t>
  </si>
  <si>
    <t>C02A241732A1</t>
  </si>
  <si>
    <t>C02A241791B2</t>
  </si>
  <si>
    <t>C02A251222A1</t>
  </si>
  <si>
    <t>C02A241791C1</t>
  </si>
  <si>
    <t>C02A241791D2</t>
  </si>
  <si>
    <t>C02A251211C1</t>
  </si>
  <si>
    <t>C02A241791F1</t>
  </si>
  <si>
    <t>24LMB0973A1</t>
  </si>
  <si>
    <t>C02A250161D2</t>
  </si>
  <si>
    <t>C02A251202A1</t>
  </si>
  <si>
    <t>C02A251211D2</t>
  </si>
  <si>
    <t>C02A250562A2</t>
  </si>
  <si>
    <t>C02A251102A1</t>
  </si>
  <si>
    <t>C02A250043A3</t>
  </si>
  <si>
    <t>C02A250311C2</t>
  </si>
  <si>
    <t>C02A250141D2</t>
  </si>
  <si>
    <t>C02A250202A2</t>
  </si>
  <si>
    <t>C02A250782C1</t>
  </si>
  <si>
    <t>C02A250851C1</t>
  </si>
  <si>
    <t>C02A250881D1</t>
  </si>
  <si>
    <t>C02A250881D2</t>
  </si>
  <si>
    <t>C02A250932A1</t>
  </si>
  <si>
    <t>C02A250951C2</t>
  </si>
  <si>
    <t>C02A251021C2</t>
  </si>
  <si>
    <t>C02A251021E1</t>
  </si>
  <si>
    <t>24LMB0722C1</t>
  </si>
  <si>
    <t>C02A251192A1</t>
  </si>
  <si>
    <t>C02A251212A1</t>
  </si>
  <si>
    <t>C02A251212B1</t>
  </si>
  <si>
    <t>C02A251032A1</t>
  </si>
  <si>
    <t>C02A251012B1</t>
  </si>
  <si>
    <t>C02A250982B1</t>
  </si>
  <si>
    <t>C02A250931C4</t>
  </si>
  <si>
    <t>C02A250593A1</t>
  </si>
  <si>
    <t>C02A250692B1</t>
  </si>
  <si>
    <t>C02A250692C1</t>
  </si>
  <si>
    <t>C02A250702A2</t>
  </si>
  <si>
    <t>C02A250712A1</t>
  </si>
  <si>
    <t>C02A250732C1</t>
  </si>
  <si>
    <t>C02A250791E2</t>
  </si>
  <si>
    <t>C02A251022A2</t>
  </si>
  <si>
    <t>C02A251032B1</t>
  </si>
  <si>
    <t>C02A251041D1</t>
  </si>
  <si>
    <t>C02A251041D2</t>
  </si>
  <si>
    <t>C02A251042A1</t>
  </si>
  <si>
    <t>C02A251082C1</t>
  </si>
  <si>
    <t>C02A251242B1</t>
  </si>
  <si>
    <t>C02A251252B1</t>
  </si>
  <si>
    <t>C02A251272A1</t>
  </si>
  <si>
    <t>C02A251272B1</t>
  </si>
  <si>
    <t>C02A250283A2</t>
  </si>
  <si>
    <t>C02A250672B1</t>
  </si>
  <si>
    <t>C02A250672B2</t>
  </si>
  <si>
    <t>C02A250754A1</t>
  </si>
  <si>
    <t>C02A250771D3</t>
  </si>
  <si>
    <t>C02A250781C1</t>
  </si>
  <si>
    <t>C02A250962A1</t>
  </si>
  <si>
    <t>C02A250962B3</t>
  </si>
  <si>
    <t>C02A251204A1</t>
  </si>
  <si>
    <t>C02A251244A2</t>
  </si>
  <si>
    <t>C02A251251A1</t>
  </si>
  <si>
    <t>C02A251251C2</t>
  </si>
  <si>
    <t>C02A251254C1</t>
  </si>
  <si>
    <t>C02A251263A2</t>
  </si>
  <si>
    <t>C02A251264B2</t>
  </si>
  <si>
    <t>C02A251274B1</t>
  </si>
  <si>
    <t>C02A251274C1</t>
  </si>
  <si>
    <t>C02A251284A1</t>
  </si>
  <si>
    <t>C02A251284B1</t>
  </si>
  <si>
    <t>C02A251001E1</t>
  </si>
  <si>
    <t>C02A251262B1</t>
  </si>
  <si>
    <t>C02A251273A1</t>
  </si>
  <si>
    <t>C02A251273B1</t>
  </si>
  <si>
    <t>C02A250452A2</t>
  </si>
  <si>
    <t>C02A241934A4</t>
  </si>
  <si>
    <t>C02A250243B3</t>
  </si>
  <si>
    <t>C02A251271E1</t>
  </si>
  <si>
    <t>C02A250243C1</t>
  </si>
  <si>
    <t>C02A250244A1</t>
  </si>
  <si>
    <t>C02A250244C3</t>
  </si>
  <si>
    <t>C02A251264C1</t>
  </si>
  <si>
    <t>C02A250452B1</t>
  </si>
  <si>
    <t>C02A251264D1</t>
  </si>
  <si>
    <t>C02A250774B2</t>
  </si>
  <si>
    <t>C02A250874B1</t>
  </si>
  <si>
    <t>C02A251283A2</t>
  </si>
  <si>
    <t>C02A251204D2</t>
  </si>
  <si>
    <t>C02A251263A3</t>
  </si>
  <si>
    <t>C02A251264A1</t>
  </si>
  <si>
    <t>C02A251034B1</t>
  </si>
  <si>
    <t>C02A251293B1</t>
  </si>
  <si>
    <t>C02A250803B1</t>
  </si>
  <si>
    <t>C02A251294D1</t>
  </si>
  <si>
    <t>C02A251294D2</t>
  </si>
  <si>
    <t>C02A251252A2</t>
  </si>
  <si>
    <t>C02A251284C2</t>
  </si>
  <si>
    <t>C02A251284C3</t>
  </si>
  <si>
    <t>C02A251262A1</t>
  </si>
  <si>
    <t>C02A250994C1</t>
  </si>
  <si>
    <t>C02A251262A2</t>
  </si>
  <si>
    <t>C02A251294B1</t>
  </si>
  <si>
    <t>C02A251284C1</t>
  </si>
  <si>
    <t>C02A251263A1</t>
  </si>
  <si>
    <t>C02A250803B2</t>
  </si>
  <si>
    <t>C02A250932A2</t>
  </si>
  <si>
    <t>C02A250932A3</t>
  </si>
  <si>
    <t>C02A251284D1</t>
  </si>
  <si>
    <t>C02A251244B2</t>
  </si>
  <si>
    <t>C02A251244C1</t>
  </si>
  <si>
    <t>C02A251233A3</t>
  </si>
  <si>
    <t>C02A251303A2</t>
  </si>
  <si>
    <t>C02A251303A3</t>
  </si>
  <si>
    <t>C02A251304A1</t>
  </si>
  <si>
    <t>C02A251301B1</t>
  </si>
  <si>
    <t>C02A251304B1</t>
  </si>
  <si>
    <t>C02A251301A1</t>
  </si>
  <si>
    <t>C02A251224A1</t>
  </si>
  <si>
    <t>C02A251224A2</t>
  </si>
  <si>
    <t>C02A251224C1</t>
  </si>
  <si>
    <t>C02A251301B2</t>
  </si>
  <si>
    <t>C02A251224C2</t>
  </si>
  <si>
    <t>C02A251224D1</t>
  </si>
  <si>
    <t>C02A250302B2</t>
  </si>
  <si>
    <t>C02A250304B1</t>
  </si>
  <si>
    <t>C02A250304B2</t>
  </si>
  <si>
    <t>C02A250312C2</t>
  </si>
  <si>
    <t>C02A250324A2</t>
  </si>
  <si>
    <t>C02A251301C1</t>
  </si>
  <si>
    <t>C02A251232A1</t>
  </si>
  <si>
    <t>C02A251292A1</t>
  </si>
  <si>
    <t>C02A251302A1</t>
  </si>
  <si>
    <t>C02A251302A2</t>
  </si>
  <si>
    <t>C02A251303A1</t>
  </si>
  <si>
    <t>C02A251232B1</t>
  </si>
  <si>
    <t>C02A251292A2</t>
  </si>
  <si>
    <t>C02A251252A1</t>
  </si>
  <si>
    <t>C02A251253A1</t>
  </si>
  <si>
    <t>C02A251242A1</t>
  </si>
  <si>
    <t>C02A250572A1</t>
  </si>
  <si>
    <t>C02A251223A1</t>
  </si>
  <si>
    <t>C02A251223B1</t>
  </si>
  <si>
    <t>C02A250472A1</t>
  </si>
  <si>
    <t>C02A251223B2</t>
  </si>
  <si>
    <t>C02A251192B1</t>
  </si>
  <si>
    <t>C02A251192C1</t>
  </si>
  <si>
    <t>C02A251083A2</t>
  </si>
  <si>
    <t>C02A251293A1</t>
  </si>
  <si>
    <t>C02A251233A1</t>
  </si>
  <si>
    <t>C02A250994C2</t>
  </si>
  <si>
    <t>C02A250032C1</t>
  </si>
  <si>
    <t>C02A250082B1</t>
  </si>
  <si>
    <t>C02A250092B2</t>
  </si>
  <si>
    <t>C02A250092B1</t>
  </si>
  <si>
    <t>C02A250352B1</t>
  </si>
  <si>
    <t>C02A250381C3</t>
  </si>
  <si>
    <t>C02A250452A1</t>
  </si>
  <si>
    <t>C02A250591D2</t>
  </si>
  <si>
    <t>C02A250732C3</t>
  </si>
  <si>
    <t>C02A250801D2</t>
  </si>
  <si>
    <t>C02A250801D1</t>
  </si>
  <si>
    <t>C02A250811B3</t>
  </si>
  <si>
    <t>C02A250822A1</t>
  </si>
  <si>
    <t>C02A251201D1</t>
  </si>
  <si>
    <t>C02A251271A1</t>
  </si>
  <si>
    <t>C02A251271D1</t>
  </si>
  <si>
    <t>C02A251281C1</t>
  </si>
  <si>
    <t>C02A251401D1</t>
  </si>
  <si>
    <t>C02A250331D3</t>
  </si>
  <si>
    <t>C02A251423A1</t>
  </si>
  <si>
    <t>C02A251413B1</t>
  </si>
  <si>
    <t>C02A251422A3</t>
  </si>
  <si>
    <t>C02A251412A1</t>
  </si>
  <si>
    <t>C02A251412A2</t>
  </si>
  <si>
    <t>C02A251412A3</t>
  </si>
  <si>
    <t>C02A251421B3</t>
  </si>
  <si>
    <t>C02A251413A1</t>
  </si>
  <si>
    <t>C02A251413A2</t>
  </si>
  <si>
    <t>C02A251422A1</t>
  </si>
  <si>
    <t>C02A251422A2</t>
  </si>
  <si>
    <t>C02A251424A1</t>
  </si>
  <si>
    <t>C02A251424A2</t>
  </si>
  <si>
    <t>C02A251414A1</t>
  </si>
  <si>
    <t>C02A251421C2</t>
  </si>
  <si>
    <t>C02A251414B1</t>
  </si>
  <si>
    <t>C02A251414C1</t>
  </si>
  <si>
    <t>C02A251421C1</t>
  </si>
  <si>
    <t>C02A251433A1</t>
  </si>
  <si>
    <t>C02A251411C2</t>
  </si>
  <si>
    <t>C02A251434C1</t>
  </si>
  <si>
    <t>C02A250624C1</t>
  </si>
  <si>
    <t>C02A251393B1</t>
  </si>
  <si>
    <t>C02A251441B1</t>
  </si>
  <si>
    <t>C02A250803A1</t>
  </si>
  <si>
    <t>C02A251442A2</t>
  </si>
  <si>
    <t>SO2</t>
  </si>
  <si>
    <t>C02A251204C1</t>
  </si>
  <si>
    <t>C02A251204B2</t>
  </si>
  <si>
    <t>C02A250784A2</t>
  </si>
  <si>
    <t>C02A250784B1</t>
  </si>
  <si>
    <t>C02A250984A2</t>
  </si>
  <si>
    <t>C02A250743A2</t>
  </si>
  <si>
    <t>C02A250743A3</t>
  </si>
  <si>
    <t>C02A250743A1</t>
  </si>
  <si>
    <t>C02A250574B2</t>
  </si>
  <si>
    <t>C02A250574C1</t>
  </si>
  <si>
    <t>C02A250664A1</t>
  </si>
  <si>
    <t>C02A250273C2</t>
  </si>
  <si>
    <t>C02A251443A2</t>
  </si>
  <si>
    <t>C02A251443A1</t>
  </si>
  <si>
    <t>C02A251454A1</t>
  </si>
  <si>
    <t>C02A251394B1</t>
  </si>
  <si>
    <t>C02A250273A1</t>
  </si>
  <si>
    <t>C02A250983A3</t>
  </si>
  <si>
    <t>C02A250624A2</t>
  </si>
  <si>
    <t>C02A250802B2</t>
  </si>
  <si>
    <t>C02A251464A1</t>
  </si>
  <si>
    <t>C02A251493A1</t>
  </si>
  <si>
    <t>C02A251494B2</t>
  </si>
  <si>
    <t>C02A251431B1</t>
  </si>
  <si>
    <t>C02A251464B1</t>
  </si>
  <si>
    <t>C02A251464C1</t>
  </si>
  <si>
    <t>C02A251492A2</t>
  </si>
  <si>
    <t>C02A251464D1</t>
  </si>
  <si>
    <t>C02A251444C1</t>
  </si>
  <si>
    <t>C02A250802B1</t>
  </si>
  <si>
    <t>C02A251474A1</t>
  </si>
  <si>
    <t>C02A251474A2</t>
  </si>
  <si>
    <t>C02A251364A1</t>
  </si>
  <si>
    <t>C02A251434B1</t>
  </si>
  <si>
    <t>C02A251074A1</t>
  </si>
  <si>
    <t>C02A250682A1</t>
  </si>
  <si>
    <t>C02A250701C2</t>
  </si>
  <si>
    <t>C02A250742C4</t>
  </si>
  <si>
    <t>C02A250801C1</t>
  </si>
  <si>
    <t>C02A250821C2</t>
  </si>
  <si>
    <t>C02A250822B1</t>
  </si>
  <si>
    <t>C02A250832B1</t>
  </si>
  <si>
    <t>C02A250841D1</t>
  </si>
  <si>
    <t>C02A250871D3</t>
  </si>
  <si>
    <t>C02A250872A2</t>
  </si>
  <si>
    <t>C02A250991D1</t>
  </si>
  <si>
    <t>C02A250991D2</t>
  </si>
  <si>
    <t>C02A251033A1</t>
  </si>
  <si>
    <t>C02A251052B1</t>
  </si>
  <si>
    <t>C02A251042B2</t>
  </si>
  <si>
    <t>C02A251363A1</t>
  </si>
  <si>
    <t>C02A251392A2</t>
  </si>
  <si>
    <t>C02A251432B1</t>
  </si>
  <si>
    <t>C02A251503A1</t>
  </si>
  <si>
    <t>C02A251503A2</t>
  </si>
  <si>
    <t>C02A251503A3</t>
  </si>
  <si>
    <t>C02A251504A1</t>
  </si>
  <si>
    <t>C02A250934B1</t>
  </si>
  <si>
    <t>C02A251504B1</t>
  </si>
  <si>
    <t>C02A250934A1</t>
  </si>
  <si>
    <t>C02A251504C1</t>
  </si>
  <si>
    <t>C02A250934A2</t>
  </si>
  <si>
    <t>C02A251463A1</t>
  </si>
  <si>
    <t>C02A251482A1</t>
  </si>
  <si>
    <t>C02A250954B2</t>
  </si>
  <si>
    <t>C02A250772A1</t>
  </si>
  <si>
    <t>C02A251494B3</t>
  </si>
  <si>
    <t>C02A251014B2</t>
  </si>
  <si>
    <t>C02A250712D1</t>
  </si>
  <si>
    <t>C02A250712C1</t>
  </si>
  <si>
    <t>C02A251014B1</t>
  </si>
  <si>
    <t>C02B241281D2</t>
  </si>
  <si>
    <t>C02B251331D1</t>
  </si>
  <si>
    <t>C02B241281C3</t>
  </si>
  <si>
    <t>C02B241281E2</t>
  </si>
  <si>
    <t>C02B251331D2</t>
  </si>
  <si>
    <t>C02B241281E3</t>
  </si>
  <si>
    <t>C02B251332A1</t>
  </si>
  <si>
    <t>C02B251341E1</t>
  </si>
  <si>
    <t>C02B241291D1</t>
  </si>
  <si>
    <t>C02B241291E3</t>
  </si>
  <si>
    <t>24LMB1204A1</t>
  </si>
  <si>
    <t>24LMB1204A2</t>
  </si>
  <si>
    <t>C02A241814A1</t>
  </si>
  <si>
    <t>C02A250232C1</t>
  </si>
  <si>
    <t>C02A250424C1</t>
  </si>
  <si>
    <t>C02A250424B2</t>
  </si>
  <si>
    <t>C02A250594C1</t>
  </si>
  <si>
    <t>C02A250672C1</t>
  </si>
  <si>
    <t>C02A250742A2</t>
  </si>
  <si>
    <t>C02A250753D1</t>
  </si>
  <si>
    <t>C02A250772B1</t>
  </si>
  <si>
    <t>C02A250814A1</t>
  </si>
  <si>
    <t>C02A250834A1</t>
  </si>
  <si>
    <t>C02A250854A1</t>
  </si>
  <si>
    <t>C02A250992A1</t>
  </si>
  <si>
    <t>C02A251221A1</t>
  </si>
  <si>
    <t>C02A251224B1</t>
  </si>
  <si>
    <t>C02A251244A1</t>
  </si>
  <si>
    <t>C02A251274B2</t>
  </si>
  <si>
    <t>C02A251514A1</t>
  </si>
  <si>
    <t>C02A250833A1</t>
  </si>
  <si>
    <t>C02A250273A3</t>
  </si>
  <si>
    <t>C02A250331E1</t>
  </si>
  <si>
    <t>C02A250424B1</t>
  </si>
  <si>
    <t>C02A250564A2</t>
  </si>
  <si>
    <t>C02A250742B1</t>
  </si>
  <si>
    <t>C02A250773A2</t>
  </si>
  <si>
    <t>C02A250804B1</t>
  </si>
  <si>
    <t>C02A250953A1</t>
  </si>
  <si>
    <t>C02A251011D1</t>
  </si>
  <si>
    <t>C02A251071B1</t>
  </si>
  <si>
    <t>C02A251233A2</t>
  </si>
  <si>
    <t>C02A251433B1</t>
  </si>
  <si>
    <t>C02A251444B1</t>
  </si>
  <si>
    <t>C02A251444A1</t>
  </si>
  <si>
    <t>C02A251454B1</t>
  </si>
  <si>
    <t>C02A251472A1</t>
  </si>
  <si>
    <t>C02A251483A1</t>
  </si>
  <si>
    <t>C02A250713A2</t>
  </si>
  <si>
    <t>C02A250724B1</t>
  </si>
  <si>
    <t>C02A250734A1</t>
  </si>
  <si>
    <t>C02A250744B1</t>
  </si>
  <si>
    <t>C02A250741D2</t>
  </si>
  <si>
    <t>C02A250741D1</t>
  </si>
  <si>
    <t>C02A250802A2</t>
  </si>
  <si>
    <t>C02A250833B2</t>
  </si>
  <si>
    <t>C02A250853B1</t>
  </si>
  <si>
    <t>C02A250853A2</t>
  </si>
  <si>
    <t>C02A250863A2</t>
  </si>
  <si>
    <t>C02A250873A2</t>
  </si>
  <si>
    <t>C02A251214B1</t>
  </si>
  <si>
    <t>C02A251393A1</t>
  </si>
  <si>
    <t>C02A251494A1</t>
  </si>
  <si>
    <t>C02A251243B1</t>
  </si>
  <si>
    <t>C02A250694A1</t>
  </si>
  <si>
    <t>C02A251533A1</t>
  </si>
  <si>
    <t>C02A251524B1</t>
  </si>
  <si>
    <t>C02A251514A2</t>
  </si>
  <si>
    <t>C02A251484C1</t>
  </si>
  <si>
    <t>C02A250563A3</t>
  </si>
  <si>
    <t>C02A250563A1</t>
  </si>
  <si>
    <t>C02A251494B1</t>
  </si>
  <si>
    <t>C02A250652D1</t>
  </si>
  <si>
    <t>C02A250864A1</t>
  </si>
  <si>
    <t>C02A250824A1</t>
  </si>
  <si>
    <t>C02A250652C2</t>
  </si>
  <si>
    <t>C02A251514B1</t>
  </si>
  <si>
    <t>C02A251524A1</t>
  </si>
  <si>
    <t>C02A251471C1</t>
  </si>
  <si>
    <t>C02A250994B1</t>
  </si>
  <si>
    <t>C02A250652C1</t>
  </si>
  <si>
    <t>C02A250804A2</t>
  </si>
  <si>
    <t>C02A250334A3</t>
  </si>
  <si>
    <t>C02A250802A1</t>
  </si>
  <si>
    <t>C02A251084B1</t>
  </si>
  <si>
    <t>C02A250814B1</t>
  </si>
  <si>
    <t>C02A251533B1</t>
  </si>
  <si>
    <t>C02A251434A1</t>
  </si>
  <si>
    <t>C02A251253A2</t>
  </si>
  <si>
    <t>C02A250544A2</t>
  </si>
  <si>
    <t>C02A250431D1</t>
  </si>
  <si>
    <t>C02A250554A1</t>
  </si>
  <si>
    <t>C02A250431D2</t>
  </si>
  <si>
    <t>C02A250514A1</t>
  </si>
  <si>
    <t>C02A250872B1</t>
  </si>
  <si>
    <t>C02A250534D1</t>
  </si>
  <si>
    <t>C02A250554B1</t>
  </si>
  <si>
    <t>C02A250872C2</t>
  </si>
  <si>
    <t>C02A250302A1</t>
  </si>
  <si>
    <t>C02A250564B1</t>
  </si>
  <si>
    <t>C02A251384A1</t>
  </si>
  <si>
    <t>C02A251452A1</t>
  </si>
  <si>
    <t>C02A251104C1</t>
  </si>
  <si>
    <t>C02A250694B1</t>
  </si>
  <si>
    <t>C02A251532B1</t>
  </si>
  <si>
    <t>C02A250932B1</t>
  </si>
  <si>
    <t>C02A250434B1</t>
  </si>
  <si>
    <t>C02A250604D2</t>
  </si>
  <si>
    <t>C02A250994A1</t>
  </si>
  <si>
    <t>C02A251034A1</t>
  </si>
  <si>
    <t>C02A251391D2</t>
  </si>
  <si>
    <t>C02A250434A1</t>
  </si>
  <si>
    <t>C02A251391E1</t>
  </si>
  <si>
    <t>C02A251394A1</t>
  </si>
  <si>
    <t>C02A251244C2</t>
  </si>
  <si>
    <t>C02A251234D1</t>
  </si>
  <si>
    <t>C02A250812B1</t>
  </si>
  <si>
    <t>C02A251234B1</t>
  </si>
  <si>
    <t>C02A251234B2</t>
  </si>
  <si>
    <t>C02A251271D2</t>
  </si>
  <si>
    <t>C02A250843A2</t>
  </si>
  <si>
    <t>C02A250812B2</t>
  </si>
  <si>
    <t>C02A250812C1</t>
  </si>
  <si>
    <t>C02A250731C1</t>
  </si>
  <si>
    <t>C02A250733A3</t>
  </si>
  <si>
    <t>C02A250733A2</t>
  </si>
  <si>
    <t>C02A250732A2</t>
  </si>
  <si>
    <t>C02A250742C1</t>
  </si>
  <si>
    <t>C02A250732C2</t>
  </si>
  <si>
    <t>C02A250832C1</t>
  </si>
  <si>
    <t>C02A250993A3</t>
  </si>
  <si>
    <t>C02A250742C3</t>
  </si>
  <si>
    <t>C02A251383B1</t>
  </si>
  <si>
    <t>C02A250742C2</t>
  </si>
  <si>
    <t>C02A250792C1</t>
  </si>
  <si>
    <t>C02A251083A1</t>
  </si>
  <si>
    <t>C02A251373A1</t>
  </si>
  <si>
    <t>C02A251033A2</t>
  </si>
  <si>
    <t>C02A251052A1</t>
  </si>
  <si>
    <t>C02A251442A1</t>
  </si>
  <si>
    <t>C02A251402A2</t>
  </si>
  <si>
    <t>C02A251532A1</t>
  </si>
  <si>
    <t>C02A251522B1</t>
  </si>
  <si>
    <t>C02A251523B1</t>
  </si>
  <si>
    <t>C02A251511D1</t>
  </si>
  <si>
    <t>C02A251511D2</t>
  </si>
  <si>
    <t>C02A251512A1</t>
  </si>
  <si>
    <t>C02A251103A1</t>
  </si>
  <si>
    <t>C02A250811C2</t>
  </si>
  <si>
    <t>C02A251512B1</t>
  </si>
  <si>
    <t>C02A251462A1</t>
  </si>
  <si>
    <t>C02A251462B1</t>
  </si>
  <si>
    <t>C02A251452A2</t>
  </si>
  <si>
    <t>C02A251453A1</t>
  </si>
  <si>
    <t>C02A251441D1</t>
  </si>
  <si>
    <t>C02A250721C2</t>
  </si>
  <si>
    <t>C02A250262B1</t>
  </si>
  <si>
    <t>C02B251311B1</t>
  </si>
  <si>
    <t>C02B251311C1</t>
  </si>
  <si>
    <t>C02B251311D1</t>
  </si>
  <si>
    <t>C02A250702B1</t>
  </si>
  <si>
    <t>C02A250762A1</t>
  </si>
  <si>
    <t>C02A250842A1</t>
  </si>
  <si>
    <t>C02A250851B3</t>
  </si>
  <si>
    <t>C02A250931D1</t>
  </si>
  <si>
    <t>C02A250931C3</t>
  </si>
  <si>
    <t>C02A250982C1</t>
  </si>
  <si>
    <t>C02A251362A1</t>
  </si>
  <si>
    <t>C02A251362B1</t>
  </si>
  <si>
    <t>C02A251401E1</t>
  </si>
  <si>
    <t>C02A251402A1</t>
  </si>
  <si>
    <t>C02A251502A1</t>
  </si>
  <si>
    <t>C02A251552A1</t>
  </si>
  <si>
    <t>C02A251562A1</t>
  </si>
  <si>
    <t>C02A251582A1</t>
  </si>
  <si>
    <t>C02A250951C4</t>
  </si>
  <si>
    <t>C02A251082B1</t>
  </si>
  <si>
    <t>C02A250321F3</t>
  </si>
  <si>
    <t>C02A250792B1</t>
  </si>
  <si>
    <t>C02A250801B2</t>
  </si>
  <si>
    <t>C02A250801B3</t>
  </si>
  <si>
    <t>C02A251031D1</t>
  </si>
  <si>
    <t>C02A251191E1</t>
  </si>
  <si>
    <t>C02A251241B1</t>
  </si>
  <si>
    <t>C02A251361D2</t>
  </si>
  <si>
    <t>C02A251371D1</t>
  </si>
  <si>
    <t>C02A251432A1</t>
  </si>
  <si>
    <t>C02A251501D2</t>
  </si>
  <si>
    <t>C02A251522A1</t>
  </si>
  <si>
    <t>C02A251551C1</t>
  </si>
  <si>
    <t>C02A251581D1</t>
  </si>
  <si>
    <t>C02A251501D1</t>
  </si>
  <si>
    <t>C02A251392A1</t>
  </si>
  <si>
    <t>C02A251583A1</t>
  </si>
  <si>
    <t>C02A251593A1</t>
  </si>
  <si>
    <t>C02A250724B2</t>
  </si>
  <si>
    <t>C02A250621E1</t>
  </si>
  <si>
    <t>C02A250872C3</t>
  </si>
  <si>
    <t>C02A250734B2</t>
  </si>
  <si>
    <t>C02A250872C1</t>
  </si>
  <si>
    <t>C02A251564A1</t>
  </si>
  <si>
    <t>C02A251574A1</t>
  </si>
  <si>
    <t>C02A251431C1</t>
  </si>
  <si>
    <t>C02A251574A2</t>
  </si>
  <si>
    <t>C02A250282C1</t>
  </si>
  <si>
    <t>C02A251564A2</t>
  </si>
  <si>
    <t>C02A251624B3</t>
  </si>
  <si>
    <t>C02A251582B1</t>
  </si>
  <si>
    <t>C02A250724C1</t>
  </si>
  <si>
    <t>C02A250324A1</t>
  </si>
  <si>
    <t>C02A251591C1</t>
  </si>
  <si>
    <t>C02A250981D2</t>
  </si>
  <si>
    <t>C02A250992B1</t>
  </si>
  <si>
    <t>C02A251523A1</t>
  </si>
  <si>
    <t>C02A251531D1</t>
  </si>
  <si>
    <t>C02A251562A2</t>
  </si>
  <si>
    <t>C02A251483B1</t>
  </si>
  <si>
    <t>C02A251572B1</t>
  </si>
  <si>
    <t>C02A250841C3</t>
  </si>
  <si>
    <t>C02A250822C3</t>
  </si>
  <si>
    <t>C02A250741D3</t>
  </si>
  <si>
    <t>254001-2</t>
  </si>
  <si>
    <t>C02A241801B2</t>
  </si>
  <si>
    <t>C02A250331B2</t>
  </si>
  <si>
    <t>C02A250561B1</t>
  </si>
  <si>
    <t>C02A250951A1</t>
  </si>
  <si>
    <t>C02A241831B1</t>
  </si>
  <si>
    <t>C02A241831B2</t>
  </si>
  <si>
    <t>C02A241831A1</t>
  </si>
  <si>
    <t>C02A241901B2</t>
  </si>
  <si>
    <t>C02A241901C1</t>
  </si>
  <si>
    <t>C02A251431C2</t>
  </si>
  <si>
    <t>C02A241821C1</t>
  </si>
  <si>
    <t>C02A250011B1</t>
  </si>
  <si>
    <t>C02A250571D2</t>
  </si>
  <si>
    <t>C02A241901B1</t>
  </si>
  <si>
    <t>C02A241751B3</t>
  </si>
  <si>
    <t>C02A250321F2</t>
  </si>
  <si>
    <t>C02A250362C2</t>
  </si>
  <si>
    <t>C02A250383A1</t>
  </si>
  <si>
    <t>C02A250412A1</t>
  </si>
  <si>
    <t>C02A250861C1</t>
  </si>
  <si>
    <t>C02A250941C2</t>
  </si>
  <si>
    <t>C02A251111E1</t>
  </si>
  <si>
    <t>C02A251261D4</t>
  </si>
  <si>
    <t>C02A251261D3</t>
  </si>
  <si>
    <t>C02A251382A2</t>
  </si>
  <si>
    <t>C02A251492A1</t>
  </si>
  <si>
    <t>C02A251502B1</t>
  </si>
  <si>
    <t>C02A251531C1</t>
  </si>
  <si>
    <t>C02A251602A1</t>
  </si>
  <si>
    <t>C02A251602B1</t>
  </si>
  <si>
    <t>C02A251602B2</t>
  </si>
  <si>
    <t>C02A251611D2</t>
  </si>
  <si>
    <t>C02A251622A1</t>
  </si>
  <si>
    <t>C02A251622A2</t>
  </si>
  <si>
    <t>C02A251622B1</t>
  </si>
  <si>
    <t>C02A250122B2</t>
  </si>
  <si>
    <t>C02A250362B1</t>
  </si>
  <si>
    <t>C02A250392B1</t>
  </si>
  <si>
    <t>C02A250541D1</t>
  </si>
  <si>
    <t>C02A250822A2</t>
  </si>
  <si>
    <t>C02A250862B1</t>
  </si>
  <si>
    <t>C02A251271F1</t>
  </si>
  <si>
    <t>C02A251283A1</t>
  </si>
  <si>
    <t>C02A251371C2</t>
  </si>
  <si>
    <t>C02A251502B2</t>
  </si>
  <si>
    <t>C02A251571B2</t>
  </si>
  <si>
    <t>C02A251612A1</t>
  </si>
  <si>
    <t>C02A251612A2</t>
  </si>
  <si>
    <t>C02A251632A1</t>
  </si>
  <si>
    <t>C02A251641C2</t>
  </si>
  <si>
    <t>C02A250442A1</t>
  </si>
  <si>
    <t>C02A251632A2</t>
  </si>
  <si>
    <t>C02A251642A1</t>
  </si>
  <si>
    <t>C02A251643A1</t>
  </si>
  <si>
    <t>C02A251643A2</t>
  </si>
  <si>
    <t>C02A251581C2</t>
  </si>
  <si>
    <t>C02A251202A2</t>
  </si>
  <si>
    <t>C02A251611D1</t>
  </si>
  <si>
    <t>C02A251513A1</t>
  </si>
  <si>
    <t>C02A251623A1</t>
  </si>
  <si>
    <t>C02A250801E1</t>
  </si>
  <si>
    <t>C02A251543A1</t>
  </si>
  <si>
    <t>C02A251372A1</t>
  </si>
  <si>
    <t>C02A251572A1</t>
  </si>
  <si>
    <t>C02A251201E1</t>
  </si>
  <si>
    <t>C02A251022B1</t>
  </si>
  <si>
    <t>C02A251282A2</t>
  </si>
  <si>
    <t>C02A251241E1</t>
  </si>
  <si>
    <t>C02A251022A1</t>
  </si>
  <si>
    <t>24LMB0703A2</t>
  </si>
  <si>
    <t>C02A250242C1</t>
  </si>
  <si>
    <t>C02A250362C1</t>
  </si>
  <si>
    <t>C02A250672A1</t>
  </si>
  <si>
    <t>C02A250721D3</t>
  </si>
  <si>
    <t>C02A250732A1</t>
  </si>
  <si>
    <t>C02A250782B1</t>
  </si>
  <si>
    <t>C02A250842C1</t>
  </si>
  <si>
    <t>C02A250872A1</t>
  </si>
  <si>
    <t>C02A251012A1</t>
  </si>
  <si>
    <t>C02A251021D1</t>
  </si>
  <si>
    <t>C02A251603A1</t>
  </si>
  <si>
    <t>C02A251662A1</t>
  </si>
  <si>
    <t>C02A251662A2</t>
  </si>
  <si>
    <t>C02A251683A1</t>
  </si>
  <si>
    <t>C02A251692A1</t>
  </si>
  <si>
    <t>C02A251683A2</t>
  </si>
  <si>
    <t>C02A250852C2</t>
  </si>
  <si>
    <t>C02A251062D1</t>
  </si>
  <si>
    <t>C02A251082A1</t>
  </si>
  <si>
    <t>C02A241931D2</t>
  </si>
  <si>
    <t>C02A241941D3</t>
  </si>
  <si>
    <t>C02A241941D2</t>
  </si>
  <si>
    <t>C02A250061D2</t>
  </si>
  <si>
    <t>C02A250121D3</t>
  </si>
  <si>
    <t>C02A250181D1</t>
  </si>
  <si>
    <t>C02B251312A1</t>
  </si>
  <si>
    <t>C02B251311D2</t>
  </si>
  <si>
    <t>C02B251353A2</t>
  </si>
  <si>
    <t>C02B241261B1</t>
  </si>
  <si>
    <t>C02B251351A1</t>
  </si>
  <si>
    <t>C02B251351B1</t>
  </si>
  <si>
    <t>C02B251352B1</t>
  </si>
  <si>
    <t>C02B251351B2</t>
  </si>
  <si>
    <t>C02B241281B2</t>
  </si>
  <si>
    <t>C02B241291B1</t>
  </si>
  <si>
    <t>C02B251351E1</t>
  </si>
  <si>
    <t>C02B241271D2</t>
  </si>
  <si>
    <t>C02B241291F2</t>
  </si>
  <si>
    <t>24LMB1062B1</t>
  </si>
  <si>
    <t>C02A250181B3</t>
  </si>
  <si>
    <t>C02A250332A2</t>
  </si>
  <si>
    <t>C02A250361E2</t>
  </si>
  <si>
    <t>C02A250441B2</t>
  </si>
  <si>
    <t>C02A250501D1</t>
  </si>
  <si>
    <t>C02A250781B1</t>
  </si>
  <si>
    <t>C02A251431C3</t>
  </si>
  <si>
    <t>C02A251521C1</t>
  </si>
  <si>
    <t>C02A251581C1</t>
  </si>
  <si>
    <t>C02A251601D1</t>
  </si>
  <si>
    <t>C02A251661B1</t>
  </si>
  <si>
    <t>C02A251681A1</t>
  </si>
  <si>
    <t>C02A250081B2</t>
  </si>
  <si>
    <t>C02A250081B1</t>
  </si>
  <si>
    <t>C02A250581D1</t>
  </si>
  <si>
    <t>C02A250561C1</t>
  </si>
  <si>
    <t>C02A250182A1</t>
  </si>
  <si>
    <t>C02A251693B1</t>
  </si>
  <si>
    <t>C02A251661B2</t>
  </si>
  <si>
    <t>C02A250182A3</t>
  </si>
  <si>
    <t>C02A251692A2</t>
  </si>
  <si>
    <t>C02A251681C1</t>
  </si>
  <si>
    <t>C02A250182A2</t>
  </si>
  <si>
    <t>C02A251693A1</t>
  </si>
  <si>
    <t>C02A251681D1</t>
  </si>
  <si>
    <t>C02A250571C2</t>
  </si>
  <si>
    <t>C02A251681B1</t>
  </si>
  <si>
    <t>C02A250151F2</t>
  </si>
  <si>
    <t>C02A251191B1</t>
  </si>
  <si>
    <t>C02A250182B1</t>
  </si>
  <si>
    <t>C02A250571D1</t>
  </si>
  <si>
    <t>C02A250441C1</t>
  </si>
  <si>
    <t>C02A251673A1</t>
  </si>
  <si>
    <t>C02A251294A1</t>
  </si>
  <si>
    <t>C02A251653A2</t>
  </si>
  <si>
    <t>C02A251653B1</t>
  </si>
  <si>
    <t>C02A251642B1</t>
  </si>
  <si>
    <t>C02A251694B1</t>
  </si>
  <si>
    <t>C02A251694C2</t>
  </si>
  <si>
    <t>C02A251652A2</t>
  </si>
  <si>
    <t>C02A251684A1</t>
  </si>
  <si>
    <t>C02A251644A2</t>
  </si>
  <si>
    <t>C02A251694A2</t>
  </si>
  <si>
    <t>C02A251651C1</t>
  </si>
  <si>
    <t>C02A251644B1</t>
  </si>
  <si>
    <t>C02A251664B1</t>
  </si>
  <si>
    <t>C02A251652A3</t>
  </si>
  <si>
    <t>C02A251634A1</t>
  </si>
  <si>
    <t>C02A251634A3</t>
  </si>
  <si>
    <t>C02A250952A1</t>
  </si>
  <si>
    <t>C02A251554B2</t>
  </si>
  <si>
    <t>C02A251633A1</t>
  </si>
  <si>
    <t>C02A251663A1</t>
  </si>
  <si>
    <t>C02A251633B1</t>
  </si>
  <si>
    <t>C02A251653A1</t>
  </si>
  <si>
    <t>C02A251672B1</t>
  </si>
  <si>
    <t>C02A251604A1</t>
  </si>
  <si>
    <t>C02A251634A2</t>
  </si>
  <si>
    <t>C02A251672A2</t>
  </si>
  <si>
    <t>C02A251594A1</t>
  </si>
  <si>
    <t>C02A251671D2</t>
  </si>
  <si>
    <t>C02A251652A1</t>
  </si>
  <si>
    <t>C02A251674A1</t>
  </si>
  <si>
    <t>C02A251664A1</t>
  </si>
  <si>
    <t>C02A251671D1</t>
  </si>
  <si>
    <t>C02A251684D1</t>
  </si>
  <si>
    <t>C02A251694A1</t>
  </si>
  <si>
    <t>C02A251672A1</t>
  </si>
  <si>
    <t>C02A251384A2</t>
  </si>
  <si>
    <t>C02A250431A1</t>
  </si>
  <si>
    <t>24LMB0852A2</t>
  </si>
  <si>
    <t>C02A251631B1</t>
  </si>
  <si>
    <t>24LMB0852A3</t>
  </si>
  <si>
    <t>C02A251651B1</t>
  </si>
  <si>
    <t>C02A251661A1</t>
  </si>
  <si>
    <t>C02A251631B2</t>
  </si>
  <si>
    <t>C02A251641B1</t>
  </si>
  <si>
    <t>C02A250301E1</t>
  </si>
  <si>
    <t>C02A251661B3</t>
  </si>
  <si>
    <t>C02A250362A2</t>
  </si>
  <si>
    <t>C02A250371D4</t>
  </si>
  <si>
    <t>C02A250382A1</t>
  </si>
  <si>
    <t>C02A250391D2</t>
  </si>
  <si>
    <t>C02A250401C2</t>
  </si>
  <si>
    <t>C02A251611B2</t>
  </si>
  <si>
    <t>C02A250372A1</t>
  </si>
  <si>
    <t>C02A250311C1</t>
  </si>
  <si>
    <t>C02A250311C3</t>
  </si>
  <si>
    <t>C02A250612B1</t>
  </si>
  <si>
    <t>C02A250422A2</t>
  </si>
  <si>
    <t>C02A250952B4</t>
  </si>
  <si>
    <t>C02A251682B1</t>
  </si>
  <si>
    <t>C02A251661E1</t>
  </si>
  <si>
    <t>C02A251542A1</t>
  </si>
  <si>
    <t>C02A250602B2</t>
  </si>
  <si>
    <t>C02A251553A1</t>
  </si>
  <si>
    <t>C02A251022A3</t>
  </si>
  <si>
    <t>C02A251222B1</t>
  </si>
  <si>
    <t>C02A251383A1</t>
  </si>
  <si>
    <t>C02A250992C1</t>
  </si>
  <si>
    <t>C02A251671C2</t>
  </si>
  <si>
    <t>C02A250952B3</t>
  </si>
  <si>
    <t>C02A251431D1</t>
  </si>
  <si>
    <t>C02A250952B2</t>
  </si>
  <si>
    <t>C02A250701B2</t>
  </si>
  <si>
    <t>C02A250832B2</t>
  </si>
  <si>
    <t>C02A251543A2</t>
  </si>
  <si>
    <t>C02A250972B2</t>
  </si>
  <si>
    <t>C02A251664C2</t>
  </si>
  <si>
    <t>C02A250351F2</t>
  </si>
  <si>
    <t>C02A251563A1</t>
  </si>
  <si>
    <t>C02A251093A1</t>
  </si>
  <si>
    <t>C02A250331C3</t>
  </si>
  <si>
    <t>C02A250842B1</t>
  </si>
  <si>
    <t>C02A251563B2</t>
  </si>
  <si>
    <t>C02A250331C1</t>
  </si>
  <si>
    <t>C02A250723A1</t>
  </si>
  <si>
    <t>C02A251403A1</t>
  </si>
  <si>
    <t>C02A250142A1</t>
  </si>
  <si>
    <t>C02A250822C1</t>
  </si>
  <si>
    <t>C02A250091C2</t>
  </si>
  <si>
    <t>C02A250993A1</t>
  </si>
  <si>
    <t>C02A250351F1</t>
  </si>
  <si>
    <t>C02A250643A2</t>
  </si>
  <si>
    <t>C02A250272A3</t>
  </si>
  <si>
    <t>C02A250842B2</t>
  </si>
  <si>
    <t>C02A250442A2</t>
  </si>
  <si>
    <t>C02A250442B1</t>
  </si>
  <si>
    <t>24LMB1201A1</t>
  </si>
  <si>
    <t>C02A241701D1</t>
  </si>
  <si>
    <t>C02A250162C1</t>
  </si>
  <si>
    <t>C02A250162C2</t>
  </si>
  <si>
    <t>C02A250183B3</t>
  </si>
  <si>
    <t>C02A250312B1</t>
  </si>
  <si>
    <t>C02A250332A3</t>
  </si>
  <si>
    <t>C02A250372A2</t>
  </si>
  <si>
    <t>C02A250582A2</t>
  </si>
  <si>
    <t>C02A250781A1</t>
  </si>
  <si>
    <t>C02A251211D1</t>
  </si>
  <si>
    <t>C02A251361B2</t>
  </si>
  <si>
    <t>C02A251451B2</t>
  </si>
  <si>
    <t>C02A251471B2</t>
  </si>
  <si>
    <t>C02A250411C3</t>
  </si>
  <si>
    <t>C02A250421D2</t>
  </si>
  <si>
    <t>C02A250371D2</t>
  </si>
  <si>
    <t>C02A250371D3</t>
  </si>
  <si>
    <t>C02A241841C1</t>
  </si>
  <si>
    <t>C02A250011E1</t>
  </si>
  <si>
    <t>C02A251613A1</t>
  </si>
  <si>
    <t>C02A251613B1</t>
  </si>
  <si>
    <t>C02A251684B1</t>
  </si>
  <si>
    <t>C02A251673B1</t>
  </si>
  <si>
    <t>C02A251684C1</t>
  </si>
  <si>
    <t>C02A251684E1</t>
  </si>
  <si>
    <t>C02A251694C1</t>
  </si>
  <si>
    <t>C02A251691B1</t>
  </si>
  <si>
    <t>C02A251674B2</t>
  </si>
  <si>
    <t>C02A251634B1</t>
  </si>
  <si>
    <t>C02A251634B2</t>
  </si>
  <si>
    <t>C02A251691C1</t>
  </si>
  <si>
    <t>C02A251674B1</t>
  </si>
  <si>
    <t>C02A251634C1</t>
  </si>
  <si>
    <t>C02A250143A1</t>
  </si>
  <si>
    <t>C02A250782B2</t>
  </si>
  <si>
    <t>C02A250832C2</t>
  </si>
  <si>
    <t>C02A250862A2</t>
  </si>
  <si>
    <t>C02A250862A1</t>
  </si>
  <si>
    <t>C02A250882A1</t>
  </si>
  <si>
    <t>C02A251551D1</t>
  </si>
  <si>
    <t>C02A250992B2</t>
  </si>
  <si>
    <t>C02A250872A3</t>
  </si>
  <si>
    <t>C02A250852B1</t>
  </si>
  <si>
    <t>C02A250852C1</t>
  </si>
  <si>
    <t>C02A250871D1</t>
  </si>
  <si>
    <t>C02A250842A2</t>
  </si>
  <si>
    <t>C02A250951C3</t>
  </si>
  <si>
    <t>C02A250832A1</t>
  </si>
  <si>
    <t>C02A250863A1</t>
  </si>
  <si>
    <t>C02A250262B3</t>
  </si>
  <si>
    <t>C02A251193A2</t>
  </si>
  <si>
    <t>C02A250992A3</t>
  </si>
  <si>
    <t>C02A250982A1</t>
  </si>
  <si>
    <t>C02A251193A1</t>
  </si>
  <si>
    <t>C02A250882B1</t>
  </si>
  <si>
    <t>C02A250871D2</t>
  </si>
  <si>
    <t>C02A250982A2</t>
  </si>
  <si>
    <t>C02A251002A2</t>
  </si>
  <si>
    <t>C02A250952B1</t>
  </si>
  <si>
    <t>C02A250943A1</t>
  </si>
  <si>
    <t>C02A250881E1</t>
  </si>
  <si>
    <t>C02A250662C1</t>
  </si>
  <si>
    <t>C02A250662B2</t>
  </si>
  <si>
    <t>C02B251322B1</t>
  </si>
  <si>
    <t>CK</t>
  </si>
  <si>
    <t>C02B251322C1</t>
  </si>
  <si>
    <t>C02B251333A2</t>
  </si>
  <si>
    <t>C02B251351F2</t>
  </si>
  <si>
    <t>C02B251353B1</t>
  </si>
  <si>
    <t>C02B241244A2</t>
  </si>
  <si>
    <t>C02B251351G1</t>
  </si>
  <si>
    <t>C02B251323A1</t>
  </si>
  <si>
    <t>C02B251351F1</t>
  </si>
  <si>
    <t>C02A251063A1</t>
  </si>
  <si>
    <t>C02A251651A1</t>
  </si>
  <si>
    <t>C02A251573A2</t>
  </si>
  <si>
    <t>C02A251663A2</t>
  </si>
  <si>
    <t>C02A251663B1</t>
  </si>
  <si>
    <t>C02A251664C1</t>
  </si>
  <si>
    <t>C02A251644A1</t>
  </si>
  <si>
    <t>C02A251654A1</t>
  </si>
  <si>
    <t>C02A251592A2</t>
  </si>
  <si>
    <t>C02A251624B2</t>
  </si>
  <si>
    <t>C02A251682A1</t>
  </si>
  <si>
    <t>C02A251473A1</t>
  </si>
  <si>
    <t>C02A251624A1</t>
  </si>
  <si>
    <t>C02A251614C1</t>
  </si>
  <si>
    <t>C02A251623B1</t>
  </si>
  <si>
    <t>C02A251361C1</t>
  </si>
  <si>
    <t>C02A251584D1</t>
  </si>
  <si>
    <t>C02A251584E1</t>
  </si>
  <si>
    <t>C02A251463B1</t>
  </si>
  <si>
    <t>C02A250704B1</t>
  </si>
  <si>
    <t>C02A250721D2</t>
  </si>
  <si>
    <t>C02A250761A1</t>
  </si>
  <si>
    <t>C02A250763A1</t>
  </si>
  <si>
    <t>C02A250812A2</t>
  </si>
  <si>
    <t>C02A250993A2</t>
  </si>
  <si>
    <t>C02A251094A1</t>
  </si>
  <si>
    <t>C02A251214B2</t>
  </si>
  <si>
    <t>C02A251394B2</t>
  </si>
  <si>
    <t>C02A251484A1</t>
  </si>
  <si>
    <t>C02A251553A2</t>
  </si>
  <si>
    <t>C02A251584C1</t>
  </si>
  <si>
    <t>C02A251594C1</t>
  </si>
  <si>
    <t>C02A251594C2</t>
  </si>
  <si>
    <t>C02A251603A2</t>
  </si>
  <si>
    <t>C02A251643A3</t>
  </si>
  <si>
    <t>C02A251584B1</t>
  </si>
  <si>
    <t>C02A250791E1</t>
  </si>
  <si>
    <t>C02A250583B1</t>
  </si>
  <si>
    <t>24LMB0724C3</t>
  </si>
  <si>
    <t>C02A250282B1</t>
  </si>
  <si>
    <t>C02A250674A2</t>
  </si>
  <si>
    <t>C02A250674A1</t>
  </si>
  <si>
    <t>C02A250704A2</t>
  </si>
  <si>
    <t>C02A250733A1</t>
  </si>
  <si>
    <t>C02A250742A1</t>
  </si>
  <si>
    <t>C02A250833B1</t>
  </si>
  <si>
    <t>C02A250832A2</t>
  </si>
  <si>
    <t>C02A250984A1</t>
  </si>
  <si>
    <t>C02A251224B2</t>
  </si>
  <si>
    <t>C02A251234A1</t>
  </si>
  <si>
    <t>C02A251254B1</t>
  </si>
  <si>
    <t>C02A251531A1</t>
  </si>
  <si>
    <t>C02A251573A1</t>
  </si>
  <si>
    <t>C02A251583A2</t>
  </si>
  <si>
    <t>C02A251584A1</t>
  </si>
  <si>
    <t>C02A251593A2</t>
  </si>
  <si>
    <t>C02A251594B2</t>
  </si>
  <si>
    <t>C02A250722A2</t>
  </si>
  <si>
    <t>C02A251072B1</t>
  </si>
  <si>
    <t>C02A250822C2</t>
  </si>
  <si>
    <t>C02A250722B1</t>
  </si>
  <si>
    <t>C02A251002A1</t>
  </si>
  <si>
    <t>C02A251493A2</t>
  </si>
  <si>
    <t>C02A251241D2</t>
  </si>
  <si>
    <t>C02A250692C2</t>
  </si>
  <si>
    <t>C02A251241D1</t>
  </si>
  <si>
    <t>C02A250592A1</t>
  </si>
  <si>
    <t>24LMB1174A1</t>
  </si>
  <si>
    <t>C02A250173A3</t>
  </si>
  <si>
    <t>C02A251012A2</t>
  </si>
  <si>
    <t>C02A250722A1</t>
  </si>
  <si>
    <t>C02A250852A2</t>
  </si>
  <si>
    <t>C02A250862A3</t>
  </si>
  <si>
    <t>C02A250702C1</t>
  </si>
  <si>
    <t>C02A250752C1</t>
  </si>
  <si>
    <t>C02A250761D1</t>
  </si>
  <si>
    <t>C02A250722C1</t>
  </si>
  <si>
    <t>C02A250672A2</t>
  </si>
  <si>
    <t>C02A250662D1</t>
  </si>
  <si>
    <t>C02A250272C3</t>
  </si>
  <si>
    <t>C02A250394B2</t>
  </si>
  <si>
    <t>C02A250652B1</t>
  </si>
  <si>
    <t>C02A250083A1</t>
  </si>
  <si>
    <t>C02A250684B1</t>
  </si>
  <si>
    <t>C02A250791D3</t>
  </si>
  <si>
    <t>C02A250854A2</t>
  </si>
  <si>
    <t>C02A250972A1</t>
  </si>
  <si>
    <t>C02A250974D1</t>
  </si>
  <si>
    <t>C02A251043B1</t>
  </si>
  <si>
    <t>C02A251201A1</t>
  </si>
  <si>
    <t>C02A251214A1</t>
  </si>
  <si>
    <t>C02A251254A1</t>
  </si>
  <si>
    <t>C02A251411C1</t>
  </si>
  <si>
    <t>C02A251552A2</t>
  </si>
  <si>
    <t>C02A251592B1</t>
  </si>
  <si>
    <t>C02A251594B1</t>
  </si>
  <si>
    <t>C02A251604A2</t>
  </si>
  <si>
    <t>C02A250481D1</t>
  </si>
  <si>
    <t>C02A250761E1</t>
  </si>
  <si>
    <t>C02A250792A1</t>
  </si>
  <si>
    <t>C02A241933A3</t>
  </si>
  <si>
    <t>C02A251654D1</t>
  </si>
  <si>
    <t>C02A251561D1</t>
  </si>
  <si>
    <t>C02A251654D2</t>
  </si>
  <si>
    <t>C02A250624B2</t>
  </si>
  <si>
    <t>24LMB0703A3</t>
  </si>
  <si>
    <t>C02A250084A1</t>
  </si>
  <si>
    <t>C02A251453B1</t>
  </si>
  <si>
    <t>C02A250604C2</t>
  </si>
  <si>
    <t>24LMB0744B1</t>
  </si>
  <si>
    <t>C02A251631C1</t>
  </si>
  <si>
    <t>C02A250774A1</t>
  </si>
  <si>
    <t>C02A250673A1</t>
  </si>
  <si>
    <t>C02A251592A1</t>
  </si>
  <si>
    <t>C02A250714A1</t>
  </si>
  <si>
    <t>C02A250751C1</t>
  </si>
  <si>
    <t>C02A251634D1</t>
  </si>
  <si>
    <t>C02A250821C1</t>
  </si>
  <si>
    <t>24LMB0924B2</t>
  </si>
  <si>
    <t>24LMB0924B1</t>
  </si>
  <si>
    <t>24LMB0972C3</t>
  </si>
  <si>
    <t>C02A241904C1</t>
  </si>
  <si>
    <t>C02A250132B2</t>
  </si>
  <si>
    <t>C02A250283B1</t>
  </si>
  <si>
    <t>C02A250353A1</t>
  </si>
  <si>
    <t>C02A250534A1</t>
  </si>
  <si>
    <t>C02A250612B2</t>
  </si>
  <si>
    <t>C02A250732B1</t>
  </si>
  <si>
    <t>C02A250762B1</t>
  </si>
  <si>
    <t>C02A250771D2</t>
  </si>
  <si>
    <t>C02A250823B1</t>
  </si>
  <si>
    <t>C02A250823A1</t>
  </si>
  <si>
    <t>C02A250884A1</t>
  </si>
  <si>
    <t>C02A250963B1</t>
  </si>
  <si>
    <t>C02A251254E1</t>
  </si>
  <si>
    <t>C02A251274A1</t>
  </si>
  <si>
    <t>C02A251542A2</t>
  </si>
  <si>
    <t>C02A251544A1</t>
  </si>
  <si>
    <t>C02A250602B1</t>
  </si>
  <si>
    <t>C02A250972C1</t>
  </si>
  <si>
    <t>C02A250972D1</t>
  </si>
  <si>
    <t>C02A250811D1</t>
  </si>
  <si>
    <t>C02A250861C2</t>
  </si>
  <si>
    <t>C02A250573A1</t>
  </si>
  <si>
    <t>C02A250861C3</t>
  </si>
  <si>
    <t>C02A250583A1</t>
  </si>
  <si>
    <t>C02A251591C3</t>
  </si>
  <si>
    <t>C02A250941C3</t>
  </si>
  <si>
    <t>C02A250573A2</t>
  </si>
  <si>
    <t>C02B251332B1</t>
  </si>
  <si>
    <t>C02B251332C1</t>
  </si>
  <si>
    <t>C02A250383A3</t>
  </si>
  <si>
    <t>C02B251333A1</t>
  </si>
  <si>
    <t>24LMB1062B2</t>
  </si>
  <si>
    <t>C02A251411D1</t>
  </si>
  <si>
    <t>24LMB0984B1</t>
  </si>
  <si>
    <t>C02A250292B2</t>
  </si>
  <si>
    <t>C02A251614A2</t>
  </si>
  <si>
    <t>C02A250382B4</t>
  </si>
  <si>
    <t>C02A251394E1</t>
  </si>
  <si>
    <t>C02A251454D1</t>
  </si>
  <si>
    <t>C02A251661C1</t>
  </si>
  <si>
    <t>24LMB0983A2</t>
  </si>
  <si>
    <t>C02A251604B3</t>
  </si>
  <si>
    <t>C02A251624C2</t>
  </si>
  <si>
    <t>24LMB0983A1</t>
  </si>
  <si>
    <t>C02A251614A1</t>
  </si>
  <si>
    <t>C02A250323A1</t>
  </si>
  <si>
    <t>C02A251624B1</t>
  </si>
  <si>
    <t>C02A250431B2</t>
  </si>
  <si>
    <t>C02A251304D1</t>
  </si>
  <si>
    <t>C02A251304D2</t>
  </si>
  <si>
    <t>C02A251511B1</t>
  </si>
  <si>
    <t>C02A251304C1</t>
  </si>
  <si>
    <t>C02A251534B2</t>
  </si>
  <si>
    <t>C02A251204D1</t>
  </si>
  <si>
    <t>C02A251234C1</t>
  </si>
  <si>
    <t>C02A251254E2</t>
  </si>
  <si>
    <t>C02A251254D1</t>
  </si>
  <si>
    <t>C02A251294C1</t>
  </si>
  <si>
    <t>C02A251384C1</t>
  </si>
  <si>
    <t>C02A251404C1</t>
  </si>
  <si>
    <t>C02A251484D2</t>
  </si>
  <si>
    <t>C02A251524C1</t>
  </si>
  <si>
    <t>C02A251544A2</t>
  </si>
  <si>
    <t>C02A250663A3</t>
  </si>
  <si>
    <t>C02A250734B1</t>
  </si>
  <si>
    <t>C02A250774B1</t>
  </si>
  <si>
    <t>C02A250814A2</t>
  </si>
  <si>
    <t>C02A250824B1</t>
  </si>
  <si>
    <t>C02A250834B1</t>
  </si>
  <si>
    <t>C02A250843A1</t>
  </si>
  <si>
    <t>C02A250844A1</t>
  </si>
  <si>
    <t>C02A250434A2</t>
  </si>
  <si>
    <t>C02A250564B2</t>
  </si>
  <si>
    <t>C02A250604D1</t>
  </si>
  <si>
    <t>C02A250364E2</t>
  </si>
  <si>
    <t>C02A251374B1</t>
  </si>
  <si>
    <t>C02A251261D1</t>
  </si>
  <si>
    <t>C02A251282A1</t>
  </si>
  <si>
    <t>C02A250264A1</t>
  </si>
  <si>
    <t>C02A250683A1</t>
  </si>
  <si>
    <t>C02A250714B1</t>
  </si>
  <si>
    <t>C02A251581C3</t>
  </si>
  <si>
    <t>C02A251264B1</t>
  </si>
  <si>
    <t>C02A251651D1</t>
  </si>
  <si>
    <t>C02A251614B1</t>
  </si>
  <si>
    <t>C02A250423A1</t>
  </si>
  <si>
    <t>C02A250402A3</t>
  </si>
  <si>
    <t>C02A251394C1</t>
  </si>
  <si>
    <t>C02A251394D1</t>
  </si>
  <si>
    <t>C02A250791D2</t>
  </si>
  <si>
    <t>C02A251501C2</t>
  </si>
  <si>
    <t>C02A250264A2</t>
  </si>
  <si>
    <t>C02A251624C1</t>
  </si>
  <si>
    <t>C02A251411E1</t>
  </si>
  <si>
    <t>C02A251291C3</t>
  </si>
  <si>
    <t>24LMB1022C1</t>
  </si>
  <si>
    <t>C02A241743B2</t>
  </si>
  <si>
    <t>C02A250132B1</t>
  </si>
  <si>
    <t>C02A250152B1</t>
  </si>
  <si>
    <t>C02A250261C2</t>
  </si>
  <si>
    <t>C02A250332B1</t>
  </si>
  <si>
    <t>C02A250432B1</t>
  </si>
  <si>
    <t>C02A250551B1</t>
  </si>
  <si>
    <t>C02A250741B2</t>
  </si>
  <si>
    <t>C02A250861B2</t>
  </si>
  <si>
    <t>C02A250891A1</t>
  </si>
  <si>
    <t>C02A250911D1</t>
  </si>
  <si>
    <t>C02A250911B2</t>
  </si>
  <si>
    <t>C02A251131B2</t>
  </si>
  <si>
    <t>C02A251152A3</t>
  </si>
  <si>
    <t>C02A251151B2</t>
  </si>
  <si>
    <t>C02A251591B1</t>
  </si>
  <si>
    <t>C02A251611B3</t>
  </si>
  <si>
    <t>20250919（禹王）</t>
  </si>
  <si>
    <t>24LMB1173A3</t>
  </si>
  <si>
    <t>24LMB0424C2</t>
  </si>
  <si>
    <t>C02A250083A2</t>
  </si>
  <si>
    <t>C02A250614C2</t>
  </si>
  <si>
    <t>24LMB1154B1</t>
  </si>
  <si>
    <t>24LMB0723A1</t>
  </si>
  <si>
    <t>C02A250682B1</t>
  </si>
  <si>
    <t>C02A250771D1</t>
  </si>
  <si>
    <t>C02A251481D1</t>
  </si>
  <si>
    <t>C02A251213B1</t>
  </si>
  <si>
    <t>C02A251694E2</t>
  </si>
  <si>
    <t>C02A250834B2</t>
  </si>
  <si>
    <t>24LMB1214C1</t>
  </si>
  <si>
    <t>C02A250721D1</t>
  </si>
  <si>
    <t>24LMB0584D2</t>
  </si>
  <si>
    <t>C02A251654B1</t>
  </si>
  <si>
    <t>20250920（禹王）</t>
  </si>
  <si>
    <t>24LMB0274F1</t>
  </si>
  <si>
    <t>24LMB0274C4</t>
  </si>
  <si>
    <t>24LMB0684D2</t>
  </si>
  <si>
    <t>24LMB0994E2</t>
  </si>
  <si>
    <t>24LMB1154B2</t>
  </si>
  <si>
    <t>C02B241233A2</t>
  </si>
  <si>
    <t>C02B241294A1</t>
  </si>
  <si>
    <t>C02A250282C3</t>
  </si>
  <si>
    <t>C02A250334B1</t>
  </si>
  <si>
    <t>C02A250342A3</t>
  </si>
  <si>
    <t>C02A250712D2</t>
  </si>
  <si>
    <t>C02A250741C1</t>
  </si>
  <si>
    <t>C02A250811C1</t>
  </si>
  <si>
    <t>C02A251304F1</t>
  </si>
  <si>
    <t>C02A251641C1</t>
  </si>
  <si>
    <t>C02A251671A1</t>
  </si>
  <si>
    <t>C02A251694D1</t>
  </si>
  <si>
    <t>C02A251694E1</t>
  </si>
  <si>
    <t>20250921（禹王）</t>
  </si>
  <si>
    <t>24LMB0814A2</t>
  </si>
  <si>
    <t>24LMB0803A2</t>
  </si>
  <si>
    <t>C02A251251C1</t>
  </si>
  <si>
    <t>C02A251374C1</t>
  </si>
  <si>
    <t>C02A250514B1</t>
  </si>
  <si>
    <t>24LMB0894E1</t>
  </si>
  <si>
    <t>C02A251571C1</t>
  </si>
  <si>
    <t>24LMB1104A1</t>
  </si>
  <si>
    <t>24LMB0704F2</t>
  </si>
  <si>
    <t>C02A250283C2</t>
  </si>
  <si>
    <t>C02A251411C3</t>
  </si>
  <si>
    <t>24LMB0672C1</t>
  </si>
  <si>
    <t>C02B251354E1</t>
  </si>
  <si>
    <t>C02A250432A1</t>
  </si>
  <si>
    <t>C02A250114B2</t>
  </si>
  <si>
    <t>C02A251291C1</t>
  </si>
  <si>
    <t>C02A250851B2</t>
  </si>
  <si>
    <t>C02A250263A2</t>
  </si>
  <si>
    <t>C02A250263A1</t>
  </si>
  <si>
    <t>C02A250201E2</t>
  </si>
  <si>
    <t>C02A251691A1</t>
  </si>
  <si>
    <t>C02A250153B1</t>
  </si>
  <si>
    <t>C02A250682C1</t>
  </si>
  <si>
    <t>C02B251343A1</t>
  </si>
  <si>
    <t>C02A251651B2</t>
  </si>
  <si>
    <t>C02A250682C2</t>
  </si>
  <si>
    <t>C02B241283A2</t>
  </si>
  <si>
    <t>C02A250612A1</t>
  </si>
  <si>
    <t>C02A251641A1</t>
  </si>
  <si>
    <t>C02A250682C3</t>
  </si>
  <si>
    <t>C02B241283A1</t>
  </si>
  <si>
    <t>C02B251342A1</t>
  </si>
  <si>
    <t>C02A251671B1</t>
  </si>
  <si>
    <t>C02A250212C1</t>
  </si>
  <si>
    <t>C02A251641B2</t>
  </si>
  <si>
    <t>C02A250153A1</t>
  </si>
  <si>
    <t>C02A251671C1</t>
  </si>
  <si>
    <t>C02B251733A1</t>
  </si>
  <si>
    <t>C02B251733A2</t>
  </si>
  <si>
    <t>C02B251733B1</t>
  </si>
  <si>
    <t>24LMB0723B1</t>
  </si>
  <si>
    <t>C02A250121F1</t>
  </si>
  <si>
    <t>C02A250121A1</t>
  </si>
  <si>
    <t>C02A250153B2</t>
  </si>
  <si>
    <t>C02A250782A1</t>
  </si>
  <si>
    <t>C02A250781B2</t>
  </si>
  <si>
    <t>C02A251372A2</t>
  </si>
  <si>
    <t>C02B251352A2</t>
  </si>
  <si>
    <t>C02B251342B1</t>
  </si>
  <si>
    <t>C02A251011E1</t>
  </si>
  <si>
    <t>C02B251752B1</t>
  </si>
  <si>
    <t>C02B241222B1</t>
  </si>
  <si>
    <t>C02B241234A1</t>
  </si>
  <si>
    <t>C02B241261D2</t>
  </si>
  <si>
    <t>C02A251221B1</t>
  </si>
  <si>
    <t>C02A251081D1</t>
  </si>
  <si>
    <t>C02B241244A1</t>
  </si>
  <si>
    <t>C02B241292B1</t>
  </si>
  <si>
    <t>C02B251312B1</t>
  </si>
  <si>
    <t>C02B251322A1</t>
  </si>
  <si>
    <t>C02B251341E2</t>
  </si>
  <si>
    <t>C02B251351C1</t>
  </si>
  <si>
    <t>C02B251711D2</t>
  </si>
  <si>
    <t>C02B251711E2</t>
  </si>
  <si>
    <t>C02B251711F2</t>
  </si>
  <si>
    <t>C02B251712B1</t>
  </si>
  <si>
    <t>C02B251722B2</t>
  </si>
  <si>
    <t>C02B251742C1</t>
  </si>
  <si>
    <t>S2O</t>
  </si>
  <si>
    <t>C02A241831D2</t>
  </si>
  <si>
    <t>C02A241831E2</t>
  </si>
  <si>
    <t>C02A241831D3</t>
  </si>
  <si>
    <t>C02A250681A1</t>
  </si>
  <si>
    <t>C02A250391B1</t>
  </si>
  <si>
    <t>C02A241873A2</t>
  </si>
  <si>
    <t>C02B241221B1</t>
  </si>
  <si>
    <t>C02A250273B1</t>
  </si>
  <si>
    <t>C02A250351C3</t>
  </si>
  <si>
    <t>C02A250351D1</t>
  </si>
  <si>
    <t>C02A250282C2</t>
  </si>
  <si>
    <t>C02A241733A1</t>
  </si>
  <si>
    <t>C02A250471C1</t>
  </si>
  <si>
    <t>C02A241761B2</t>
  </si>
  <si>
    <t>C02A250961B1</t>
  </si>
  <si>
    <t>C02A241831E1</t>
  </si>
  <si>
    <t>C02A241871D3</t>
  </si>
  <si>
    <t>C02B241221C2</t>
  </si>
  <si>
    <t>C02A241901D2</t>
  </si>
  <si>
    <t>C02A250111B1</t>
  </si>
  <si>
    <t>C02A250151F1</t>
  </si>
  <si>
    <t>C02A250571B1</t>
  </si>
  <si>
    <t>C02A250571C1</t>
  </si>
  <si>
    <t>C02A250361B1</t>
  </si>
  <si>
    <t>C02B251731C2</t>
  </si>
  <si>
    <t>C02A250151C1</t>
  </si>
  <si>
    <t>C02A250681B1</t>
  </si>
  <si>
    <t>C02A250561B2</t>
  </si>
  <si>
    <t>C02A241761B1</t>
  </si>
  <si>
    <t>C02A241771B1</t>
  </si>
  <si>
    <t>C02A241781B1</t>
  </si>
  <si>
    <t>C02A241801C1</t>
  </si>
  <si>
    <t>C02B241241B1</t>
  </si>
  <si>
    <t>C02B241241F1</t>
  </si>
  <si>
    <t>C02A241801B4</t>
  </si>
  <si>
    <t>C02A241801B1</t>
  </si>
  <si>
    <t>C02A241732A3</t>
  </si>
  <si>
    <t>C02A250941B1</t>
  </si>
  <si>
    <t>C02A241811D2</t>
  </si>
  <si>
    <t>C02B251704A1</t>
  </si>
  <si>
    <t>C02A250951B2</t>
  </si>
  <si>
    <t>C02A250331B1</t>
  </si>
  <si>
    <t>C02B251704A2</t>
  </si>
  <si>
    <t>C02A241811D1</t>
  </si>
  <si>
    <t>C02A241811C2</t>
  </si>
  <si>
    <t>C02A241811C1</t>
  </si>
  <si>
    <t>C02A241811B3</t>
  </si>
  <si>
    <t>C02A250702A1</t>
  </si>
  <si>
    <t>C02A250721B2</t>
  </si>
  <si>
    <t>C02B241291B2</t>
  </si>
  <si>
    <t>C02B241291B3</t>
  </si>
  <si>
    <t>C02A241821C3</t>
  </si>
  <si>
    <t>C02A241871B2</t>
  </si>
  <si>
    <t>C02A241902A1</t>
  </si>
  <si>
    <t>C02A241911C3</t>
  </si>
  <si>
    <t>C02A241921B2</t>
  </si>
  <si>
    <t>C02A241921B1</t>
  </si>
  <si>
    <t>C02A250131D2</t>
  </si>
  <si>
    <t>C02A250141F1</t>
  </si>
  <si>
    <t>C02A250162A1</t>
  </si>
  <si>
    <t>C02A250491B1</t>
  </si>
  <si>
    <t>C02A250501A1</t>
  </si>
  <si>
    <t>C02A250501C1</t>
  </si>
  <si>
    <t>C02A250501B2</t>
  </si>
  <si>
    <t>C02A250511C1</t>
  </si>
  <si>
    <t>C02A250511C2</t>
  </si>
  <si>
    <t>C02B251702A1</t>
  </si>
  <si>
    <t>C02B251702B1</t>
  </si>
  <si>
    <t>C02B251742A1</t>
  </si>
  <si>
    <t>C02A250892B1</t>
  </si>
  <si>
    <t>C02B251772A1</t>
  </si>
  <si>
    <t>C02A241911D1</t>
  </si>
  <si>
    <t>C02A250212C2</t>
  </si>
  <si>
    <t>C02A250263B1</t>
  </si>
  <si>
    <t>C02B241222A3</t>
  </si>
  <si>
    <t>C02B241232A1</t>
  </si>
  <si>
    <t>C02B251343B1</t>
  </si>
  <si>
    <t>C02A250091D1</t>
  </si>
  <si>
    <t>C02B251712C1</t>
  </si>
  <si>
    <t>C02A250141E1</t>
  </si>
  <si>
    <t>C02B251714A1</t>
  </si>
  <si>
    <t>C02A250333A1</t>
  </si>
  <si>
    <t>C02B251714A2</t>
  </si>
  <si>
    <t>C02A250152A1</t>
  </si>
  <si>
    <t>C02B251734B1</t>
  </si>
  <si>
    <t>C02B241302A1</t>
  </si>
  <si>
    <t>C02B251743A1</t>
  </si>
  <si>
    <t>C02A250311F2</t>
  </si>
  <si>
    <t>C02A250312A1</t>
  </si>
  <si>
    <t>C02A250302A2</t>
  </si>
  <si>
    <t>24LMB0814A3</t>
  </si>
  <si>
    <t>C02B241221E1</t>
  </si>
  <si>
    <t>C02B241222B2</t>
  </si>
  <si>
    <t>C02B241224E2</t>
  </si>
  <si>
    <t>C02B241292A2</t>
  </si>
  <si>
    <t>C02B241292B2</t>
  </si>
  <si>
    <t>C02A250562B1</t>
  </si>
  <si>
    <t>C02B251712B2</t>
  </si>
  <si>
    <t>C02B251771C1</t>
  </si>
  <si>
    <t>C02B251771D2</t>
  </si>
  <si>
    <t>C02B251781F2</t>
  </si>
  <si>
    <t>C02B251802B1</t>
  </si>
  <si>
    <t>C02B251802B2</t>
  </si>
  <si>
    <t>C02B251802C1</t>
  </si>
  <si>
    <t>C02B251813A1</t>
  </si>
  <si>
    <t>C02B251832B1</t>
  </si>
  <si>
    <t>C02B251842C1</t>
  </si>
  <si>
    <t>C02B251842C2</t>
  </si>
  <si>
    <t>C02A251114C1</t>
  </si>
  <si>
    <t>C02B251842D1</t>
  </si>
  <si>
    <t>C02A241874C2</t>
  </si>
  <si>
    <t>C02B251833A2</t>
  </si>
  <si>
    <t>C02B251823B1</t>
  </si>
  <si>
    <t>C02B241242A1</t>
  </si>
  <si>
    <t>C02A241874C1</t>
  </si>
  <si>
    <t>C02A241934A2</t>
  </si>
  <si>
    <t>C02A241934A3</t>
  </si>
  <si>
    <t>C02A251214E1</t>
  </si>
  <si>
    <t>C02B251732B2</t>
  </si>
  <si>
    <t>C02B251701A1</t>
  </si>
  <si>
    <t>C02B251701B1</t>
  </si>
  <si>
    <t>C02B251751F1</t>
  </si>
  <si>
    <t>C02B241291A1</t>
  </si>
  <si>
    <t>C02B241281D1</t>
  </si>
  <si>
    <t>C02A251404A1</t>
  </si>
  <si>
    <t>C02B241282B2</t>
  </si>
  <si>
    <t>C02B241282C1</t>
  </si>
  <si>
    <t>C02A250941B2</t>
  </si>
  <si>
    <t>C02A250431B1</t>
  </si>
  <si>
    <t>C02A251554B1</t>
  </si>
  <si>
    <t>C02A251142A1</t>
  </si>
  <si>
    <t>C02B251742B1</t>
  </si>
  <si>
    <t>C02B251731C1</t>
  </si>
  <si>
    <t>C02A250901C2</t>
  </si>
  <si>
    <t>C02B241273A2</t>
  </si>
  <si>
    <t>C02B241272C1</t>
  </si>
  <si>
    <t>C02B251731D1</t>
  </si>
  <si>
    <t>C02B251731D2</t>
  </si>
  <si>
    <t>C02B251732B1</t>
  </si>
  <si>
    <t>C02B241243B1</t>
  </si>
  <si>
    <t>C02B241262A2</t>
  </si>
  <si>
    <t>C02B251824A1</t>
  </si>
  <si>
    <t>C02B251812C1</t>
  </si>
  <si>
    <t>C02B251763A2</t>
  </si>
  <si>
    <t>C02B251812D2</t>
  </si>
  <si>
    <t>C02B251763A1</t>
  </si>
  <si>
    <t>C02A250262C1</t>
  </si>
  <si>
    <t>C02B251743A2</t>
  </si>
  <si>
    <t>C02A250301E2</t>
  </si>
  <si>
    <t>C02A250362A3</t>
  </si>
  <si>
    <t>C02B251744A1</t>
  </si>
  <si>
    <t>C02A250572B3</t>
  </si>
  <si>
    <t>C02A250142A2</t>
  </si>
  <si>
    <t>C02B251714B1</t>
  </si>
  <si>
    <t>C02A250402A1</t>
  </si>
  <si>
    <t>C02A251563B1</t>
  </si>
  <si>
    <t>C02B251812D1</t>
  </si>
  <si>
    <t>C02B241251A1</t>
  </si>
  <si>
    <t>C02A250011B2</t>
  </si>
  <si>
    <t>C02A250131F1</t>
  </si>
  <si>
    <t>C02A250141D3</t>
  </si>
  <si>
    <t>C02A250182B2</t>
  </si>
  <si>
    <t>C02A250301F1</t>
  </si>
  <si>
    <t>C02A250341E2</t>
  </si>
  <si>
    <t>C02A250561E2</t>
  </si>
  <si>
    <t>C02A250572B2</t>
  </si>
  <si>
    <t>C02A250981D1</t>
  </si>
  <si>
    <t>C02A251001D1</t>
  </si>
  <si>
    <t>C02A251183A1</t>
  </si>
  <si>
    <t>C02B251722B1</t>
  </si>
  <si>
    <t>C02B251732A1</t>
  </si>
  <si>
    <t>C02B251763B1</t>
  </si>
  <si>
    <t>C02B251771F1</t>
  </si>
  <si>
    <t>C02B251781D1</t>
  </si>
  <si>
    <t>C02B251803A3</t>
  </si>
  <si>
    <t>C02B251812B3</t>
  </si>
  <si>
    <t>C02B251842B1</t>
  </si>
  <si>
    <t>C02B251861C1</t>
  </si>
  <si>
    <t>C02B251752B2</t>
  </si>
  <si>
    <t>C02A250912C1</t>
  </si>
  <si>
    <t>C02A250311E1</t>
  </si>
  <si>
    <t>C02A250021E2</t>
  </si>
  <si>
    <t>C02A250122B1</t>
  </si>
  <si>
    <t>C02A250191D1</t>
  </si>
  <si>
    <t>C02A250271F1</t>
  </si>
  <si>
    <t>C02A250311F1</t>
  </si>
  <si>
    <t>C02A251621B2</t>
  </si>
  <si>
    <t>C02A250572B1</t>
  </si>
  <si>
    <t>C02A251521B2</t>
  </si>
  <si>
    <t>C02A250912D1</t>
  </si>
  <si>
    <t>C02A250912A2</t>
  </si>
  <si>
    <t>C02A250922A2</t>
  </si>
  <si>
    <t>C02A250922A1</t>
  </si>
  <si>
    <t>C02A251173A1</t>
  </si>
  <si>
    <t>C02A251173B1</t>
  </si>
  <si>
    <t>C02B251353A1</t>
  </si>
  <si>
    <t>C02B251831C2</t>
  </si>
  <si>
    <t>C02B251832B3</t>
  </si>
  <si>
    <t>C02B251721D2</t>
  </si>
  <si>
    <t>C02B251742B2</t>
  </si>
  <si>
    <t>C02A250241D1</t>
  </si>
  <si>
    <t>C02A250902B1</t>
  </si>
  <si>
    <t>C02A250922B1</t>
  </si>
  <si>
    <t>C02A251153A2</t>
  </si>
  <si>
    <t>C02A251162A2</t>
  </si>
  <si>
    <t>C02A251172A1</t>
  </si>
  <si>
    <t>C02B251313A1</t>
  </si>
  <si>
    <t>C02B251771B1</t>
  </si>
  <si>
    <t>C02B251802A2</t>
  </si>
  <si>
    <t>C02B251831D1</t>
  </si>
  <si>
    <t>C02B251872B2</t>
  </si>
  <si>
    <t>C02B251872B3</t>
  </si>
  <si>
    <t>C02B251881D2</t>
  </si>
  <si>
    <t>C02B251882A1</t>
  </si>
  <si>
    <t>C02B251882B1</t>
  </si>
  <si>
    <t>C02B251882B2</t>
  </si>
  <si>
    <t>C02B251831B1</t>
  </si>
  <si>
    <t>C02B251793A1</t>
  </si>
  <si>
    <t>C02B251852A1</t>
  </si>
  <si>
    <t>C02B251861A1</t>
  </si>
  <si>
    <t>C02B251792B2</t>
  </si>
  <si>
    <t>C02B251804B1</t>
  </si>
  <si>
    <t>C02B251883A1</t>
  </si>
  <si>
    <t>C02B251861F2</t>
  </si>
  <si>
    <t>24LMB0984C2</t>
  </si>
  <si>
    <t>C02B251862A1</t>
  </si>
  <si>
    <t>C02A251454C2</t>
  </si>
  <si>
    <t>C02A250793A1</t>
  </si>
  <si>
    <t>C02B251862A2</t>
  </si>
  <si>
    <t>C02A251454C1</t>
  </si>
  <si>
    <t>剩余</t>
  </si>
  <si>
    <t>C02B251871D3</t>
  </si>
  <si>
    <t>C02B241234A2</t>
  </si>
  <si>
    <t>C02B241271E1</t>
  </si>
  <si>
    <t>C02B241291F1</t>
  </si>
  <si>
    <t>C02A250382B3</t>
  </si>
  <si>
    <t>C02B251871A1</t>
  </si>
  <si>
    <t>C02B251782A1</t>
  </si>
  <si>
    <t>C02B251722A2</t>
  </si>
  <si>
    <t>C02B251871B2</t>
  </si>
  <si>
    <t>C02A250791A1</t>
  </si>
  <si>
    <t>C02B251721D1</t>
  </si>
  <si>
    <t>C02A250961A1</t>
  </si>
  <si>
    <t>C02A251001B2</t>
  </si>
  <si>
    <t>C02B251703A1</t>
  </si>
  <si>
    <t>C02B241282B1</t>
  </si>
  <si>
    <t>C02A241581B1</t>
  </si>
  <si>
    <t>C02A241581B2</t>
  </si>
  <si>
    <t>C02B251703A2</t>
  </si>
  <si>
    <t>C02A251081B1</t>
  </si>
  <si>
    <t>C02B251722A1</t>
  </si>
  <si>
    <t>C02A241581C1</t>
  </si>
  <si>
    <t>C02B251721C1</t>
  </si>
  <si>
    <t>C02A250951B1</t>
  </si>
  <si>
    <t>C02B241234B1</t>
  </si>
  <si>
    <t>C02B241291G3</t>
  </si>
  <si>
    <t>C02B251321C1</t>
  </si>
  <si>
    <t>C02B251701D1</t>
  </si>
  <si>
    <t>C02B251711A1</t>
  </si>
  <si>
    <t>C02B251762C1</t>
  </si>
  <si>
    <t>C02B251781H2</t>
  </si>
  <si>
    <t>C02B251812B2</t>
  </si>
  <si>
    <t>C02B251851A1</t>
  </si>
  <si>
    <t>C02B251852A3</t>
  </si>
  <si>
    <t>C02B251861D2</t>
  </si>
  <si>
    <t>C02B251881C2</t>
  </si>
  <si>
    <t>C02B251881D3</t>
  </si>
  <si>
    <t>C02B241241D1</t>
  </si>
  <si>
    <t>C02B241252B2</t>
  </si>
  <si>
    <t>C02B241301C1</t>
  </si>
  <si>
    <t>C02B251341A1</t>
  </si>
  <si>
    <t>C02B251751D1</t>
  </si>
  <si>
    <t>C02B251762B1</t>
  </si>
  <si>
    <t>C02B251821A1</t>
  </si>
  <si>
    <t>C02B251871E1</t>
  </si>
  <si>
    <t>C02B251872A1</t>
  </si>
  <si>
    <t>C02B251881A1</t>
  </si>
  <si>
    <t>C02B251881C1</t>
  </si>
  <si>
    <t>C02B241291E2</t>
  </si>
  <si>
    <t>C02B251712A1</t>
  </si>
  <si>
    <t>C02B251721C2</t>
  </si>
  <si>
    <t>C02B251741C1</t>
  </si>
  <si>
    <t>C02B251761A1</t>
  </si>
  <si>
    <t>C02B251761D3</t>
  </si>
  <si>
    <t>C02B251801B1</t>
  </si>
  <si>
    <t>C02B251832A2</t>
  </si>
  <si>
    <t>24LMB0841A1</t>
  </si>
  <si>
    <t>C02B241252B1</t>
  </si>
  <si>
    <t>C02B241291D2</t>
  </si>
  <si>
    <t>C02A250041D2</t>
  </si>
  <si>
    <t>C02A250061B1</t>
  </si>
  <si>
    <t>C02A250081E2</t>
  </si>
  <si>
    <t>C02A250121B2</t>
  </si>
  <si>
    <t>C02A250131E1</t>
  </si>
  <si>
    <t>C02A250151E1</t>
  </si>
  <si>
    <t>C02A250331D2</t>
  </si>
  <si>
    <t>C02A250891B1</t>
  </si>
  <si>
    <t>C02A251182A1</t>
  </si>
  <si>
    <t>C02B251312C1</t>
  </si>
  <si>
    <t>C02B251762A1</t>
  </si>
  <si>
    <t>C02A241583A1</t>
  </si>
  <si>
    <t>C02A241583A2</t>
  </si>
  <si>
    <t>C02A241901D1</t>
  </si>
  <si>
    <t>C02A241941E3</t>
  </si>
  <si>
    <t>C02A241941E1</t>
  </si>
  <si>
    <t>C02A250011C3</t>
  </si>
  <si>
    <t>C02A250031F2</t>
  </si>
  <si>
    <t>C02A250081E1</t>
  </si>
  <si>
    <t>C02A250091C1</t>
  </si>
  <si>
    <t>C02A250671A1</t>
  </si>
  <si>
    <t>C02A251431E1</t>
  </si>
  <si>
    <t>C02B251731B1</t>
  </si>
  <si>
    <t>24LMB0684C3</t>
  </si>
  <si>
    <t>24LMB0214C1</t>
  </si>
  <si>
    <t>24LMB0814A1</t>
  </si>
  <si>
    <t>24LMB0574D2</t>
  </si>
  <si>
    <t>C02A250052C2</t>
  </si>
  <si>
    <t>24LMB0694D2</t>
  </si>
  <si>
    <t>C02A250184B2</t>
  </si>
  <si>
    <t>24LMB0694D1</t>
  </si>
  <si>
    <t>C02A250271C1</t>
  </si>
  <si>
    <t>24LMB0714F1</t>
  </si>
  <si>
    <t>C02A250311A1</t>
  </si>
  <si>
    <t>24LMB0912A1</t>
  </si>
  <si>
    <t>C02A250432A2</t>
  </si>
  <si>
    <t>24LMB0912A2</t>
  </si>
  <si>
    <t>C02A250663A1</t>
  </si>
  <si>
    <t>24LMB1184C3</t>
  </si>
  <si>
    <t>C02A250731B3</t>
  </si>
  <si>
    <t>C02A250091D2</t>
  </si>
  <si>
    <t>C02A251591C2</t>
  </si>
  <si>
    <t>C02A250241C3</t>
  </si>
  <si>
    <t>C02A250301G1</t>
  </si>
  <si>
    <t>C02A25189R01</t>
  </si>
  <si>
    <t>C02A250571A1</t>
  </si>
  <si>
    <t>C02A25189R04</t>
  </si>
  <si>
    <t>C02A250663A2</t>
  </si>
  <si>
    <t>C02A25189R07</t>
  </si>
  <si>
    <t>C02A250793A2</t>
  </si>
  <si>
    <t>C02A25189R11</t>
  </si>
  <si>
    <t>C02A250843B1</t>
  </si>
  <si>
    <t>C02A25189R15</t>
  </si>
  <si>
    <t>C02A25190R15</t>
  </si>
  <si>
    <t>C02A251291C2</t>
  </si>
  <si>
    <t>C02A25191R01</t>
  </si>
  <si>
    <t>C02A251534B1</t>
  </si>
  <si>
    <t>C02A25191R13</t>
  </si>
  <si>
    <t>C02A25189R06</t>
  </si>
  <si>
    <t>C02A25191R15</t>
  </si>
  <si>
    <t>C02A25189R08</t>
  </si>
  <si>
    <t>C02A25191R18</t>
  </si>
  <si>
    <t>C02A25191R12</t>
  </si>
  <si>
    <t>C02B251873A2</t>
  </si>
  <si>
    <t>C02B251881D1</t>
  </si>
  <si>
    <t>C02B241251D3</t>
  </si>
  <si>
    <t>C02B251852A2</t>
  </si>
  <si>
    <t>C02A250081B3</t>
  </si>
  <si>
    <t>C02B251881B1</t>
  </si>
  <si>
    <t>C02B251741A1</t>
  </si>
  <si>
    <t>C02A250111B2</t>
  </si>
  <si>
    <t>C02B251741B1</t>
  </si>
  <si>
    <t>C02A250131B2</t>
  </si>
  <si>
    <t>C02B251741B2</t>
  </si>
  <si>
    <t>C02A250561A1</t>
  </si>
  <si>
    <t>C02B251341C1</t>
  </si>
  <si>
    <t>C02A250902B3</t>
  </si>
  <si>
    <t>C02A251162A1</t>
  </si>
  <si>
    <t>C02A250902B2</t>
  </si>
  <si>
    <t>C02A250902A2</t>
  </si>
  <si>
    <t>C02A251172B1</t>
  </si>
  <si>
    <t>C02A250921D2</t>
  </si>
  <si>
    <t>C02B251841D2</t>
  </si>
  <si>
    <t>C02A250921D3</t>
  </si>
  <si>
    <t>C02B251791E1</t>
  </si>
  <si>
    <t>C02A251142A2</t>
  </si>
  <si>
    <t>C02A250361D2</t>
  </si>
  <si>
    <t>C02A250902A1</t>
  </si>
  <si>
    <t>C02A25191R09</t>
  </si>
  <si>
    <t>C02A25191R16</t>
  </si>
  <si>
    <t>C02A25191R17</t>
  </si>
  <si>
    <t>C02A25191R06</t>
  </si>
  <si>
    <t>C02A25191R07</t>
  </si>
  <si>
    <t>C02A25189R10</t>
  </si>
  <si>
    <t>C02A251534A1</t>
  </si>
  <si>
    <t>C02B241273A1</t>
  </si>
  <si>
    <t>C02B251734A1</t>
  </si>
  <si>
    <t>C02B241233A1</t>
  </si>
  <si>
    <t>C02B251754A1</t>
  </si>
  <si>
    <t>C02B251884C1</t>
  </si>
  <si>
    <t>C02B241263B1</t>
  </si>
  <si>
    <t>C02B251884C3</t>
  </si>
  <si>
    <t>C02B241263B2</t>
  </si>
  <si>
    <t>C02A251474B1</t>
  </si>
  <si>
    <t>C02B241234B2</t>
  </si>
  <si>
    <t>C02B241262B2</t>
  </si>
  <si>
    <t>C02A25191R10</t>
  </si>
  <si>
    <t>C02A25191R11</t>
  </si>
  <si>
    <t>C02A25191R14</t>
  </si>
  <si>
    <t>C02B251813B1</t>
  </si>
  <si>
    <t>C02B251813B2</t>
  </si>
  <si>
    <t>C02B241293A1</t>
  </si>
  <si>
    <t>C02B251813B3</t>
  </si>
  <si>
    <t>C02B251813C1</t>
  </si>
  <si>
    <t>C02A251531C2</t>
  </si>
  <si>
    <t>C02B241293A2</t>
  </si>
  <si>
    <t>C02B251843A1</t>
  </si>
  <si>
    <t>C02B251843B1</t>
  </si>
  <si>
    <t>C02B241302B2</t>
  </si>
  <si>
    <t>C02B241374C2</t>
  </si>
  <si>
    <t>C02B251844A1</t>
  </si>
  <si>
    <t>C02B241272A1</t>
  </si>
  <si>
    <t>C02B251724B1</t>
  </si>
  <si>
    <t>C02A250331E3</t>
  </si>
  <si>
    <t>C02A250902B4</t>
  </si>
  <si>
    <t>C02B251861B1</t>
  </si>
  <si>
    <t>C02B251861C3</t>
  </si>
  <si>
    <t>C02A251162A3</t>
  </si>
  <si>
    <t>C02A251172B2</t>
  </si>
  <si>
    <t>C02A250923B2</t>
  </si>
  <si>
    <t>C02B251741C2</t>
  </si>
  <si>
    <t>C02B251852B1</t>
  </si>
  <si>
    <t>C02A250361C2</t>
  </si>
  <si>
    <t>C02B251803A2</t>
  </si>
  <si>
    <t>C02A250923A1</t>
  </si>
  <si>
    <t>C02A250922D1</t>
  </si>
  <si>
    <t>C02B251851E1</t>
  </si>
  <si>
    <t>C02B251791G2</t>
  </si>
  <si>
    <t>C02A251132A1</t>
  </si>
  <si>
    <t>C02B251851E2</t>
  </si>
  <si>
    <t>C02A250913A1</t>
  </si>
  <si>
    <t>C02A241921B3</t>
  </si>
  <si>
    <t>C02A251132A2</t>
  </si>
  <si>
    <t>C02A250923B1</t>
  </si>
  <si>
    <t>C02A250922C1</t>
  </si>
  <si>
    <t>C02A250922A3</t>
  </si>
  <si>
    <t>C02B251751E1</t>
  </si>
  <si>
    <t>C02A241921C1</t>
  </si>
  <si>
    <t>C02A250871B1</t>
  </si>
  <si>
    <t>C02A241911B3</t>
  </si>
  <si>
    <t>C02B251741D1</t>
  </si>
  <si>
    <t>C02B241231B1</t>
  </si>
  <si>
    <t>C02A250151E2</t>
  </si>
  <si>
    <t>C02B241241H2</t>
  </si>
  <si>
    <t>C02B241242A2</t>
  </si>
  <si>
    <t>C02A250161C1</t>
  </si>
  <si>
    <t>C02A250161C2</t>
  </si>
  <si>
    <t>C02A250301D3</t>
  </si>
  <si>
    <t>C02B241251C1</t>
  </si>
  <si>
    <t>C02A241581C2</t>
  </si>
  <si>
    <t>C02A250341B3</t>
  </si>
  <si>
    <t>C02A250361B3</t>
  </si>
  <si>
    <t>C02A250361C3</t>
  </si>
  <si>
    <t>C02A250361C1</t>
  </si>
  <si>
    <t>C02A250561D1</t>
  </si>
  <si>
    <t>C02B241282A1</t>
  </si>
  <si>
    <t>C02A250021D2</t>
  </si>
  <si>
    <t>C02A250151G1</t>
  </si>
  <si>
    <t>C02A250021D1</t>
  </si>
  <si>
    <t>C02A250091C3</t>
  </si>
  <si>
    <t>C02A250031E1</t>
  </si>
  <si>
    <t>C02A250311B3</t>
  </si>
  <si>
    <t>C02A250081C2</t>
  </si>
  <si>
    <t>C02A251183B1</t>
  </si>
  <si>
    <t>C02A250311B1</t>
  </si>
  <si>
    <t>C02A250131D1</t>
  </si>
  <si>
    <t>C02A250903A2</t>
  </si>
  <si>
    <t>C02A250081C1</t>
  </si>
  <si>
    <t>C02A241921A1</t>
  </si>
  <si>
    <t>C02A251143A2</t>
  </si>
  <si>
    <t>C02A250903A3</t>
  </si>
  <si>
    <t>C02A250101D2</t>
  </si>
  <si>
    <t>C02A250913B1</t>
  </si>
  <si>
    <t>C02A250903A1</t>
  </si>
  <si>
    <t>C02A250331D1</t>
  </si>
  <si>
    <t>C02A250401C1</t>
  </si>
  <si>
    <t>C02A251143A3</t>
  </si>
  <si>
    <t>C02A250341E1</t>
  </si>
  <si>
    <t>C02A250421D1</t>
  </si>
  <si>
    <t>C02A250191B1</t>
  </si>
  <si>
    <t>C02A251153A1</t>
  </si>
  <si>
    <t>C02A241911A1</t>
  </si>
  <si>
    <t>C02A250561E1</t>
  </si>
  <si>
    <t>C02A251163A1</t>
  </si>
  <si>
    <t>C02A250081E3</t>
  </si>
  <si>
    <t>C02A250181C1</t>
  </si>
  <si>
    <t>C02A250181D2</t>
  </si>
  <si>
    <t>C02A250161C3</t>
  </si>
  <si>
    <t>C02A250271D3</t>
  </si>
  <si>
    <t>C02A241751C3</t>
  </si>
  <si>
    <t>C02A250041D3</t>
  </si>
  <si>
    <t>C02A251123A2</t>
  </si>
  <si>
    <t>C02A251131B1</t>
  </si>
  <si>
    <t>C02A250121C2</t>
  </si>
  <si>
    <t>C02B251311A1</t>
  </si>
  <si>
    <t>C02A250081D1</t>
  </si>
  <si>
    <t>C02A250081A1</t>
  </si>
  <si>
    <t>C02A25189R05</t>
  </si>
  <si>
    <t>C02A250051E4</t>
  </si>
  <si>
    <t>C02A25189R12</t>
  </si>
  <si>
    <t>C02A250051E3</t>
  </si>
  <si>
    <t>C02A250101E1</t>
  </si>
  <si>
    <t>C02A25189R14</t>
  </si>
  <si>
    <t>C02A250151E3</t>
  </si>
  <si>
    <t>C02B251711D1</t>
  </si>
  <si>
    <t>C02A250101E2</t>
  </si>
  <si>
    <t>C02A250111C3</t>
  </si>
  <si>
    <t>C02A250121C1</t>
  </si>
  <si>
    <t>24LMB0981A1</t>
  </si>
  <si>
    <t>C02B241251D1</t>
  </si>
  <si>
    <t>C02B241252A2</t>
  </si>
  <si>
    <t>C02A250191G1</t>
  </si>
  <si>
    <t>C02A250191C1</t>
  </si>
  <si>
    <t>C02B251781B1</t>
  </si>
  <si>
    <t>C02A241881E3</t>
  </si>
  <si>
    <t>C02A250241B3</t>
  </si>
  <si>
    <t>C02A250021C3</t>
  </si>
  <si>
    <t>C02A250241C2</t>
  </si>
  <si>
    <t>C02A250271G1</t>
  </si>
  <si>
    <t>C02B251321A1</t>
  </si>
  <si>
    <t>C02A250121B1</t>
  </si>
  <si>
    <t>C02A25189R13</t>
  </si>
  <si>
    <t>C02A250171D2</t>
  </si>
  <si>
    <t>C02A241941E2</t>
  </si>
  <si>
    <t>C02A25190R01</t>
  </si>
  <si>
    <t>C02A250311D1</t>
  </si>
  <si>
    <t>C02A250911C1</t>
  </si>
  <si>
    <t>C02A250341C1</t>
  </si>
  <si>
    <t>C02A25189R02</t>
  </si>
  <si>
    <t>C02A25189R03</t>
  </si>
  <si>
    <t>C02A25189R09</t>
  </si>
  <si>
    <t>C02A25190R02</t>
  </si>
  <si>
    <t>C02A25190R04</t>
  </si>
  <si>
    <t>C02B251803A1</t>
  </si>
  <si>
    <t>C02B251822C1</t>
  </si>
  <si>
    <t>C02B251804A2</t>
  </si>
  <si>
    <t>C02B241273B1</t>
  </si>
  <si>
    <t>C02A250793B1</t>
  </si>
  <si>
    <t>C02B251822C2</t>
  </si>
  <si>
    <t>C02A250684A1</t>
  </si>
  <si>
    <t>C02A251081C1</t>
  </si>
  <si>
    <t>C02B241284A2</t>
  </si>
  <si>
    <t>C02B251771B2</t>
  </si>
  <si>
    <t>C02A250624B1</t>
  </si>
  <si>
    <t>C02B251801D2</t>
  </si>
  <si>
    <t>C02B241262B1</t>
  </si>
  <si>
    <t>C02A250273C1</t>
  </si>
  <si>
    <t>C02B251884A1</t>
  </si>
  <si>
    <t>C02B251884A2</t>
  </si>
  <si>
    <t>C02B251884B1</t>
  </si>
  <si>
    <t>C02B251884B2</t>
  </si>
  <si>
    <t>C02B251852C1</t>
  </si>
  <si>
    <t>C02B251711F1</t>
  </si>
  <si>
    <t>C02B251852C2</t>
  </si>
  <si>
    <t>C02B251852D1</t>
  </si>
  <si>
    <t>C02B251861D1</t>
  </si>
  <si>
    <t>C02B241253B1</t>
  </si>
  <si>
    <t>05</t>
  </si>
  <si>
    <t>C02B251772B2</t>
  </si>
  <si>
    <t>C02B251801D1</t>
  </si>
  <si>
    <t>C02B251802A1</t>
  </si>
  <si>
    <t>C02B251771E1</t>
  </si>
  <si>
    <t>C02B251823A2</t>
  </si>
  <si>
    <t>C02B251831C1</t>
  </si>
  <si>
    <t>C02B251832A1</t>
  </si>
  <si>
    <t>C02B241274B1</t>
  </si>
  <si>
    <t>C02B251812B1</t>
  </si>
  <si>
    <t>C02B251814B1</t>
  </si>
  <si>
    <t>C02B241274B2</t>
  </si>
  <si>
    <t>C02B251811E1</t>
  </si>
  <si>
    <t>C02B241264A2</t>
  </si>
  <si>
    <t>C02B251812A1</t>
  </si>
  <si>
    <t>C02B251701C1</t>
  </si>
  <si>
    <t>C02B251814A1</t>
  </si>
  <si>
    <t>C02B241254A3</t>
  </si>
  <si>
    <t>C02B251861E2</t>
  </si>
  <si>
    <t>C02A241881D3</t>
  </si>
  <si>
    <t>C02A241931B1</t>
  </si>
  <si>
    <t>C02A241941C4</t>
  </si>
  <si>
    <t>C02A250111D2</t>
  </si>
  <si>
    <t>C02A250111D3</t>
  </si>
  <si>
    <t>C02A250191C2</t>
  </si>
  <si>
    <t>C02A250191A1</t>
  </si>
  <si>
    <t>C02A250191C3</t>
  </si>
  <si>
    <t>C02A250912B2</t>
  </si>
  <si>
    <t>C02A250912B1</t>
  </si>
  <si>
    <t>C02A251152A1</t>
  </si>
  <si>
    <t>C02A250341C3</t>
  </si>
  <si>
    <t>C02A250341D3</t>
  </si>
  <si>
    <t>C02A250271C2</t>
  </si>
  <si>
    <t>C02A250271D2</t>
  </si>
  <si>
    <t>C02B241241H1</t>
  </si>
  <si>
    <t>C02A250923C1</t>
  </si>
  <si>
    <t>C02A251133A2</t>
  </si>
  <si>
    <t>C02A251163A2</t>
  </si>
  <si>
    <t>C02A250893A1</t>
  </si>
  <si>
    <t>C02A250324B1</t>
  </si>
  <si>
    <t>C02B241242A3</t>
  </si>
  <si>
    <t>C02A251161B2</t>
  </si>
  <si>
    <t>C02A251134A3</t>
  </si>
  <si>
    <t>C02A250924A2</t>
  </si>
  <si>
    <t>C02A250564A1</t>
  </si>
  <si>
    <t>C02A250111C2</t>
  </si>
  <si>
    <t>C02A250221B1</t>
  </si>
  <si>
    <t>C02A250111C1</t>
  </si>
  <si>
    <t>C02A250261B2</t>
  </si>
  <si>
    <t>C02A250151D1</t>
  </si>
  <si>
    <t>C02A250291C2</t>
  </si>
  <si>
    <t>C02A250291A1</t>
  </si>
  <si>
    <t>C02A250301C3</t>
  </si>
  <si>
    <t>C02A250301B2</t>
  </si>
  <si>
    <t>C02A250301C1</t>
  </si>
  <si>
    <t>C02A250301A1</t>
  </si>
  <si>
    <t>C02A250341C2</t>
  </si>
  <si>
    <t>C02A250301B1</t>
  </si>
  <si>
    <t>C02A250341D1</t>
  </si>
  <si>
    <t>C02A250371B3</t>
  </si>
  <si>
    <t>C02A250151C2</t>
  </si>
  <si>
    <t>C02B251721B1</t>
  </si>
  <si>
    <t>C02A250181A1</t>
  </si>
  <si>
    <t>C02B251751C1</t>
  </si>
  <si>
    <t>C02B251921C1</t>
  </si>
  <si>
    <t>C02A250361B2</t>
  </si>
  <si>
    <t>C02B251921C2</t>
  </si>
  <si>
    <t>C02B251721B2</t>
  </si>
  <si>
    <t>C02A250351E1</t>
  </si>
  <si>
    <t>C02A250061C1</t>
  </si>
  <si>
    <t>C02A250131B1</t>
  </si>
  <si>
    <t>C02A250131C3</t>
  </si>
  <si>
    <t>C02A250131C2</t>
  </si>
  <si>
    <t>C02A250181C2</t>
  </si>
  <si>
    <t>C02A250361D1</t>
  </si>
  <si>
    <t>C02B251942A1</t>
  </si>
  <si>
    <t>C02B251942A2</t>
  </si>
  <si>
    <t>C02B251932A2</t>
  </si>
  <si>
    <t>C02B251932B1</t>
  </si>
  <si>
    <t>C02B251932C1</t>
  </si>
  <si>
    <t>C02B251933A1</t>
  </si>
  <si>
    <t>C02B251933A2</t>
  </si>
  <si>
    <t>C02B251952B1</t>
  </si>
  <si>
    <t>C02B251953A1</t>
  </si>
  <si>
    <t>C02B251953B1</t>
  </si>
  <si>
    <t>C02B251922B1</t>
  </si>
  <si>
    <t>C02B251922B2</t>
  </si>
  <si>
    <t>C02B251991D2</t>
  </si>
  <si>
    <t>C02B251982A1</t>
  </si>
  <si>
    <t>C02B251982A2</t>
  </si>
  <si>
    <t>C02B251972A1</t>
  </si>
  <si>
    <t>C02B251992C1</t>
  </si>
  <si>
    <t>C02B251992C2</t>
  </si>
  <si>
    <t>C02B251991D1</t>
  </si>
  <si>
    <t>C02B252003A1</t>
  </si>
  <si>
    <t>C02B251992B1</t>
  </si>
  <si>
    <t>C02B251973A2</t>
  </si>
  <si>
    <t>C02B251992A1</t>
  </si>
  <si>
    <t>C02B251993A1</t>
  </si>
  <si>
    <t>C02B241254B1</t>
  </si>
  <si>
    <t>C02A25190R09</t>
  </si>
  <si>
    <t>C02B251834A2</t>
  </si>
  <si>
    <t>C02B251974D1</t>
  </si>
  <si>
    <t>YH4</t>
  </si>
  <si>
    <t>C02A25190R10</t>
  </si>
  <si>
    <t>C02B251942B1</t>
  </si>
  <si>
    <t>C02B241264A1</t>
  </si>
  <si>
    <t>C02B251972A3</t>
  </si>
  <si>
    <t>C02B251994A1</t>
  </si>
  <si>
    <t>C02B241264B1</t>
  </si>
  <si>
    <t>C02B252003A2</t>
  </si>
  <si>
    <t>C02B251964B2</t>
  </si>
  <si>
    <t>C02B241264C2</t>
  </si>
  <si>
    <t>C02B241304B4</t>
  </si>
  <si>
    <t>C02A250604C1</t>
  </si>
  <si>
    <t>C02A250904A2</t>
  </si>
  <si>
    <t>C02A250924A1</t>
  </si>
  <si>
    <t>C02A251064B1</t>
  </si>
  <si>
    <t>C02A251084B2</t>
  </si>
  <si>
    <t>C02A251484C2</t>
  </si>
  <si>
    <t>1209粉</t>
  </si>
  <si>
    <t>C02B251781A1</t>
  </si>
  <si>
    <t>C02B251921D1</t>
  </si>
  <si>
    <t>C02B252012A1</t>
  </si>
  <si>
    <t>C02B251961F1</t>
  </si>
  <si>
    <t>C02B252004A2</t>
  </si>
  <si>
    <t>C02B241241E1</t>
  </si>
  <si>
    <t>C02B241264C1</t>
  </si>
  <si>
    <t>C02B241284A1</t>
  </si>
  <si>
    <t>C02A250893B3</t>
  </si>
  <si>
    <t>C02A251134A1</t>
  </si>
  <si>
    <t>C02A251143A1</t>
  </si>
  <si>
    <t>C02A251171D1</t>
  </si>
  <si>
    <t>C02A251174C1</t>
  </si>
  <si>
    <t>C02A251184A1</t>
  </si>
  <si>
    <t>C02A251182B1</t>
  </si>
  <si>
    <t>C02A251182B2</t>
  </si>
  <si>
    <t>C02B251324B2</t>
  </si>
  <si>
    <t>C02B251334A1</t>
  </si>
  <si>
    <t>C02A25190R07</t>
  </si>
  <si>
    <t>C02A25191R04</t>
  </si>
  <si>
    <t>C02A25191R05</t>
  </si>
  <si>
    <t>C02A250894A3</t>
  </si>
  <si>
    <t>C02A250894A2</t>
  </si>
  <si>
    <t>C02A250894A1</t>
  </si>
  <si>
    <t>C02A25190R14</t>
  </si>
  <si>
    <t>C02A250894B1</t>
  </si>
  <si>
    <t>C02A250904A1</t>
  </si>
  <si>
    <t>C02A25191R08</t>
  </si>
  <si>
    <t>C02A250914A2</t>
  </si>
  <si>
    <t>C02B251953B2</t>
  </si>
  <si>
    <t>C02A250914A1</t>
  </si>
  <si>
    <t>YP24071802</t>
  </si>
  <si>
    <t>C02A241881C1</t>
  </si>
  <si>
    <t>C02B251921E1</t>
  </si>
  <si>
    <t>C02A250924B1</t>
  </si>
  <si>
    <t>C02B241302B1</t>
  </si>
  <si>
    <t>C02B251923A1</t>
  </si>
  <si>
    <t>C02B251923A2</t>
  </si>
  <si>
    <t>C02B251931A1</t>
  </si>
  <si>
    <t>C02A250924B2</t>
  </si>
  <si>
    <t>C02B251934B1</t>
  </si>
  <si>
    <t>C02B251931B1</t>
  </si>
  <si>
    <t>C02B251931B2</t>
  </si>
  <si>
    <t>C02B251934C1</t>
  </si>
  <si>
    <t>C02A250162B2</t>
  </si>
  <si>
    <t>C02B251941D1</t>
  </si>
  <si>
    <t>C02B251811F1</t>
  </si>
  <si>
    <t>C02B251971D1</t>
  </si>
  <si>
    <t>C02B251971D2</t>
  </si>
  <si>
    <t>C02B251971D3</t>
  </si>
  <si>
    <t>C02B241384B1</t>
  </si>
  <si>
    <t>C02B251771D1</t>
  </si>
  <si>
    <t>C02B251982B1</t>
  </si>
  <si>
    <t>C02B241221C1</t>
  </si>
  <si>
    <t>C02B241254A1</t>
  </si>
  <si>
    <t>C02B241254A2</t>
  </si>
  <si>
    <t>C02B241284B2</t>
  </si>
  <si>
    <t>C02B252014D1</t>
  </si>
  <si>
    <t>C02B252014D2</t>
  </si>
  <si>
    <t>C02B252014E1</t>
  </si>
  <si>
    <t>C02B252014E2</t>
  </si>
  <si>
    <t>C02A250834C1</t>
  </si>
  <si>
    <t>C02A250964C2</t>
  </si>
  <si>
    <t>C02B252002A1</t>
  </si>
  <si>
    <t>C02B252002A3</t>
  </si>
  <si>
    <t>C02B251981D2</t>
  </si>
  <si>
    <t>C02B252002A2</t>
  </si>
  <si>
    <t>C02B252012B1</t>
  </si>
  <si>
    <t>C02B252012B2</t>
  </si>
  <si>
    <t>C02B251941E1</t>
  </si>
  <si>
    <t>C02B252012B3</t>
  </si>
  <si>
    <t>C02B252001C2</t>
  </si>
  <si>
    <t>C02B252013A1</t>
  </si>
  <si>
    <t>C02B252013A2</t>
  </si>
  <si>
    <t>C02B251981C3</t>
  </si>
  <si>
    <t>C02B252014A1</t>
  </si>
  <si>
    <t>C02B252013A3</t>
  </si>
  <si>
    <t>C02B251971A1</t>
  </si>
  <si>
    <t>C02B251941A1</t>
  </si>
  <si>
    <t>C02B251841B2</t>
  </si>
  <si>
    <t>C02B251981C4</t>
  </si>
  <si>
    <t>C02B252014B1</t>
  </si>
  <si>
    <t>C02B251981D1</t>
  </si>
  <si>
    <t>C02B252014B2</t>
  </si>
  <si>
    <t>C02A241831D1</t>
  </si>
  <si>
    <t>C02B251721A1</t>
  </si>
  <si>
    <t>C02B251921F1</t>
  </si>
  <si>
    <t>C02B251981B1</t>
  </si>
  <si>
    <t>C02B251991A1</t>
  </si>
  <si>
    <t>C02B252001B1</t>
  </si>
  <si>
    <t>C02B252001B2</t>
  </si>
  <si>
    <t>C02B252001B3</t>
  </si>
  <si>
    <t>C02B251962A1</t>
  </si>
  <si>
    <t>C02B251994B1</t>
  </si>
  <si>
    <t>C02B251994B2</t>
  </si>
  <si>
    <t>C02B251994B3</t>
  </si>
  <si>
    <t>C02B251994C1</t>
  </si>
  <si>
    <t>C02B251994C2</t>
  </si>
  <si>
    <t>C02B241304B3</t>
  </si>
  <si>
    <t>C02B252004A1</t>
  </si>
  <si>
    <t>C02A25202R02</t>
  </si>
  <si>
    <t>C02B241304B1</t>
  </si>
  <si>
    <t>C02A25202R06</t>
  </si>
  <si>
    <t>C02B241304B2</t>
  </si>
  <si>
    <t>C02A25202R10</t>
  </si>
  <si>
    <t>C02B252004B1</t>
  </si>
  <si>
    <t>C02A25202R14</t>
  </si>
  <si>
    <t>C02B252004B2</t>
  </si>
  <si>
    <t>C02A25202R18</t>
  </si>
  <si>
    <t>C02B252004C1</t>
  </si>
  <si>
    <t>C02A25202R19</t>
  </si>
  <si>
    <t>C02B251993A2</t>
  </si>
  <si>
    <t>C02B251942B2</t>
  </si>
  <si>
    <t>C02B251974C2</t>
  </si>
  <si>
    <t>24LMB0604B3</t>
  </si>
  <si>
    <t>24LMB0704F1</t>
  </si>
  <si>
    <t>C02A25202R07</t>
  </si>
  <si>
    <t>C02A250094B2</t>
  </si>
  <si>
    <t>C02B251834A1</t>
  </si>
  <si>
    <t>C02A25202R04</t>
  </si>
  <si>
    <t>C02B251974A1</t>
  </si>
  <si>
    <t>C02A25202R11</t>
  </si>
  <si>
    <t>C02A25202R08</t>
  </si>
  <si>
    <t>C02B252014C1</t>
  </si>
  <si>
    <t>24LMB0824G1</t>
  </si>
  <si>
    <t>C02A25202R09</t>
  </si>
  <si>
    <t>24LMB0824G2</t>
  </si>
  <si>
    <t>C02A25202R12</t>
  </si>
  <si>
    <t>C02B251973A1</t>
  </si>
  <si>
    <t>C02A25202R01</t>
  </si>
  <si>
    <t>C02A25202R03</t>
  </si>
  <si>
    <t>C02B251974A2</t>
  </si>
  <si>
    <t>24LMB0564E1</t>
  </si>
  <si>
    <t>C02A25202R05</t>
  </si>
  <si>
    <t>C02B251974B1</t>
  </si>
  <si>
    <t>C02B241224G3</t>
  </si>
  <si>
    <t>C02A25202R17</t>
  </si>
  <si>
    <t>C02A250134C1</t>
  </si>
  <si>
    <t>C02A250041C3</t>
  </si>
  <si>
    <t>C02A251304E1</t>
  </si>
  <si>
    <t>C02A25202R16</t>
  </si>
  <si>
    <t>C02A250154D1</t>
  </si>
  <si>
    <t>C02A250041D1</t>
  </si>
  <si>
    <t>C02B241224G1</t>
  </si>
  <si>
    <t>C02A25202R13</t>
  </si>
  <si>
    <t>C02B241224G2</t>
  </si>
  <si>
    <t>C02A25202R15</t>
  </si>
  <si>
    <t>C02B251991B1</t>
  </si>
  <si>
    <t>C02B251991B2</t>
  </si>
  <si>
    <t>C02A250921D1</t>
  </si>
  <si>
    <t>C02B251761D1</t>
  </si>
  <si>
    <t>C02B251871B1</t>
  </si>
  <si>
    <t>C02A241582B2</t>
  </si>
  <si>
    <t>C02B251932A1</t>
  </si>
  <si>
    <t>C02A251071A1</t>
  </si>
  <si>
    <t>C02A251161C1</t>
  </si>
  <si>
    <t>C02B251922A1</t>
  </si>
  <si>
    <t>C02A251521A1</t>
  </si>
  <si>
    <t>C02A251591B2</t>
  </si>
  <si>
    <t>C02A250331C2</t>
  </si>
  <si>
    <t>C02B251871C1</t>
  </si>
  <si>
    <t>C02B251952A1</t>
  </si>
  <si>
    <t>C02A250901C3</t>
  </si>
  <si>
    <t>C02A251131B3</t>
  </si>
  <si>
    <t>C02A250171C3</t>
  </si>
  <si>
    <t>C02B251952A2</t>
  </si>
  <si>
    <t>C02A250201D2</t>
  </si>
  <si>
    <t>C02B251961E1</t>
  </si>
  <si>
    <t>C02A241582B1</t>
  </si>
  <si>
    <t>C02A250071D3</t>
  </si>
  <si>
    <t>C02A250321E1</t>
  </si>
  <si>
    <t>C02A250372A3</t>
  </si>
  <si>
    <t>C02A250461D1</t>
  </si>
  <si>
    <t>C02A250681D1</t>
  </si>
  <si>
    <t>C02A250891C1</t>
  </si>
  <si>
    <t>C02A250912A1</t>
  </si>
  <si>
    <t>C02A251131B4</t>
  </si>
  <si>
    <t>C02A251171D2</t>
  </si>
  <si>
    <t>C02A251211A1</t>
  </si>
  <si>
    <t>C02A251611C1</t>
  </si>
  <si>
    <t>C02B251922B3</t>
  </si>
  <si>
    <t>C02B251931D1</t>
  </si>
  <si>
    <t>C02B251941D2</t>
  </si>
  <si>
    <t>C02B251962A2</t>
  </si>
  <si>
    <t>C02B251962B1</t>
  </si>
  <si>
    <t>C02B251972A2</t>
  </si>
  <si>
    <t>C02B251981C2</t>
  </si>
  <si>
    <t>C02B251991E1</t>
  </si>
  <si>
    <t>C02B252001D1</t>
  </si>
  <si>
    <t>C02A25203R07</t>
  </si>
  <si>
    <t>1222粉</t>
  </si>
  <si>
    <t>C02B251991C2</t>
  </si>
  <si>
    <t>C02B251781C1</t>
  </si>
  <si>
    <t>C02B251931D2</t>
  </si>
  <si>
    <t>C02B251991B3</t>
  </si>
  <si>
    <t>C02B251842A2</t>
  </si>
  <si>
    <t>C02B252001D2</t>
  </si>
  <si>
    <t>20241019</t>
  </si>
  <si>
    <t>C02A251011C2</t>
  </si>
  <si>
    <t>C02A25204R01</t>
  </si>
  <si>
    <t>C02A250891C2</t>
  </si>
  <si>
    <t>C02A25204R02</t>
  </si>
  <si>
    <t>C02A251421A1</t>
  </si>
  <si>
    <t>C02B251933B1</t>
  </si>
  <si>
    <t>C02A250901D2</t>
  </si>
  <si>
    <t>C02A250901D1</t>
  </si>
  <si>
    <t>C02B241274C1</t>
  </si>
  <si>
    <t>C02B251964B1</t>
  </si>
  <si>
    <t>C02B251954B3</t>
  </si>
  <si>
    <t>C02B251931C1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</si>
</sst>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35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1C1CFA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0"/>
      <color rgb="FF00B050"/>
      <name val="微软雅黑"/>
      <charset val="134"/>
    </font>
    <font>
      <sz val="10"/>
      <color theme="9" tint="-0.25"/>
      <name val="微软雅黑"/>
      <charset val="134"/>
    </font>
    <font>
      <sz val="10"/>
      <color rgb="FF92D050"/>
      <name val="微软雅黑"/>
      <charset val="134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2" fillId="0" borderId="0">
      <alignment vertical="center"/>
    </xf>
  </cellStyleXfs>
  <cellXfs count="203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49" applyNumberFormat="1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176" fontId="1" fillId="0" borderId="1" xfId="49" applyNumberFormat="1" applyFont="1" applyBorder="1" applyAlignment="1">
      <alignment horizontal="center" vertical="center"/>
    </xf>
    <xf numFmtId="177" fontId="1" fillId="0" borderId="1" xfId="49" applyNumberFormat="1" applyFont="1" applyBorder="1" applyAlignment="1">
      <alignment horizontal="center" vertical="center"/>
    </xf>
    <xf numFmtId="176" fontId="1" fillId="0" borderId="1" xfId="49" applyNumberFormat="1" applyFont="1" applyFill="1" applyBorder="1" applyAlignment="1">
      <alignment horizontal="center" vertical="center"/>
    </xf>
    <xf numFmtId="0" fontId="1" fillId="0" borderId="3" xfId="49" applyNumberFormat="1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176" fontId="1" fillId="0" borderId="3" xfId="49" applyNumberFormat="1" applyFont="1" applyBorder="1" applyAlignment="1">
      <alignment horizontal="center" vertical="center"/>
    </xf>
    <xf numFmtId="177" fontId="1" fillId="0" borderId="3" xfId="49" applyNumberFormat="1" applyFont="1" applyBorder="1" applyAlignment="1">
      <alignment horizontal="center" vertical="center"/>
    </xf>
    <xf numFmtId="176" fontId="1" fillId="0" borderId="3" xfId="49" applyNumberFormat="1" applyFont="1" applyFill="1" applyBorder="1" applyAlignment="1">
      <alignment horizontal="center" vertical="center"/>
    </xf>
    <xf numFmtId="49" fontId="1" fillId="2" borderId="3" xfId="49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3" xfId="49" applyNumberFormat="1" applyFont="1" applyBorder="1" applyAlignment="1">
      <alignment horizontal="center" vertical="center"/>
    </xf>
    <xf numFmtId="0" fontId="4" fillId="0" borderId="3" xfId="49" applyFont="1" applyBorder="1" applyAlignment="1">
      <alignment horizontal="center" vertical="center"/>
    </xf>
    <xf numFmtId="177" fontId="4" fillId="0" borderId="3" xfId="49" applyNumberFormat="1" applyFont="1" applyBorder="1" applyAlignment="1">
      <alignment horizontal="center" vertical="center"/>
    </xf>
    <xf numFmtId="49" fontId="1" fillId="3" borderId="3" xfId="49" applyNumberFormat="1" applyFont="1" applyFill="1" applyBorder="1" applyAlignment="1">
      <alignment horizontal="center" vertical="center"/>
    </xf>
    <xf numFmtId="49" fontId="4" fillId="3" borderId="3" xfId="49" applyNumberFormat="1" applyFont="1" applyFill="1" applyBorder="1" applyAlignment="1">
      <alignment horizontal="center" vertical="center"/>
    </xf>
    <xf numFmtId="176" fontId="4" fillId="0" borderId="3" xfId="49" applyNumberFormat="1" applyFont="1" applyBorder="1" applyAlignment="1">
      <alignment horizontal="center" vertical="center"/>
    </xf>
    <xf numFmtId="176" fontId="4" fillId="0" borderId="3" xfId="49" applyNumberFormat="1" applyFont="1" applyFill="1" applyBorder="1" applyAlignment="1">
      <alignment horizontal="center" vertical="center"/>
    </xf>
    <xf numFmtId="49" fontId="4" fillId="0" borderId="3" xfId="49" applyNumberFormat="1" applyFont="1" applyBorder="1" applyAlignment="1">
      <alignment horizontal="center" vertical="center"/>
    </xf>
    <xf numFmtId="49" fontId="4" fillId="4" borderId="3" xfId="49" applyNumberFormat="1" applyFont="1" applyFill="1" applyBorder="1" applyAlignment="1">
      <alignment horizontal="center" vertical="center"/>
    </xf>
    <xf numFmtId="0" fontId="4" fillId="0" borderId="3" xfId="49" applyNumberFormat="1" applyFont="1" applyBorder="1" applyAlignment="1">
      <alignment horizontal="center" vertical="center"/>
    </xf>
    <xf numFmtId="49" fontId="4" fillId="3" borderId="1" xfId="49" applyNumberFormat="1" applyFont="1" applyFill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176" fontId="4" fillId="0" borderId="1" xfId="49" applyNumberFormat="1" applyFont="1" applyBorder="1" applyAlignment="1">
      <alignment horizontal="center" vertical="center"/>
    </xf>
    <xf numFmtId="177" fontId="4" fillId="0" borderId="1" xfId="49" applyNumberFormat="1" applyFont="1" applyBorder="1" applyAlignment="1">
      <alignment horizontal="center" vertical="center"/>
    </xf>
    <xf numFmtId="176" fontId="4" fillId="0" borderId="1" xfId="49" applyNumberFormat="1" applyFont="1" applyFill="1" applyBorder="1" applyAlignment="1">
      <alignment horizontal="center" vertical="center"/>
    </xf>
    <xf numFmtId="49" fontId="4" fillId="0" borderId="1" xfId="49" applyNumberFormat="1" applyFont="1" applyBorder="1" applyAlignment="1">
      <alignment horizontal="center" vertical="center"/>
    </xf>
    <xf numFmtId="49" fontId="1" fillId="0" borderId="1" xfId="49" applyNumberFormat="1" applyFont="1" applyBorder="1" applyAlignment="1">
      <alignment horizontal="center" vertical="center"/>
    </xf>
    <xf numFmtId="0" fontId="4" fillId="0" borderId="1" xfId="49" applyNumberFormat="1" applyFont="1" applyBorder="1" applyAlignment="1">
      <alignment horizontal="center" vertical="center"/>
    </xf>
    <xf numFmtId="49" fontId="4" fillId="0" borderId="1" xfId="49" applyNumberFormat="1" applyFont="1" applyFill="1" applyBorder="1" applyAlignment="1">
      <alignment horizontal="center" vertical="center"/>
    </xf>
    <xf numFmtId="49" fontId="4" fillId="4" borderId="1" xfId="49" applyNumberFormat="1" applyFont="1" applyFill="1" applyBorder="1" applyAlignment="1">
      <alignment horizontal="center" vertical="center"/>
    </xf>
    <xf numFmtId="49" fontId="4" fillId="2" borderId="1" xfId="49" applyNumberFormat="1" applyFont="1" applyFill="1" applyBorder="1" applyAlignment="1">
      <alignment horizontal="center" vertical="center"/>
    </xf>
    <xf numFmtId="0" fontId="1" fillId="0" borderId="3" xfId="49" applyNumberFormat="1" applyFont="1" applyFill="1" applyBorder="1" applyAlignment="1">
      <alignment horizontal="center" vertical="center"/>
    </xf>
    <xf numFmtId="0" fontId="1" fillId="0" borderId="3" xfId="49" applyFont="1" applyFill="1" applyBorder="1" applyAlignment="1">
      <alignment horizontal="center" vertical="center"/>
    </xf>
    <xf numFmtId="176" fontId="1" fillId="0" borderId="3" xfId="49" applyNumberFormat="1" applyFont="1" applyFill="1" applyBorder="1" applyAlignment="1">
      <alignment horizontal="center" vertical="center"/>
    </xf>
    <xf numFmtId="177" fontId="1" fillId="0" borderId="3" xfId="49" applyNumberFormat="1" applyFont="1" applyFill="1" applyBorder="1" applyAlignment="1">
      <alignment horizontal="center" vertical="center"/>
    </xf>
    <xf numFmtId="49" fontId="1" fillId="0" borderId="3" xfId="49" applyNumberFormat="1" applyFont="1" applyFill="1" applyBorder="1" applyAlignment="1">
      <alignment horizontal="center" vertical="center"/>
    </xf>
    <xf numFmtId="49" fontId="1" fillId="0" borderId="3" xfId="49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3" xfId="49" applyFont="1" applyFill="1" applyBorder="1" applyAlignment="1">
      <alignment horizontal="center" vertical="center"/>
    </xf>
    <xf numFmtId="49" fontId="1" fillId="2" borderId="1" xfId="49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177" fontId="1" fillId="0" borderId="1" xfId="49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49" fontId="1" fillId="3" borderId="1" xfId="49" applyNumberFormat="1" applyFont="1" applyFill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/>
    </xf>
    <xf numFmtId="49" fontId="4" fillId="2" borderId="3" xfId="49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4" xfId="49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49" fontId="1" fillId="5" borderId="1" xfId="49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1" fillId="4" borderId="1" xfId="49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1" fillId="5" borderId="4" xfId="49" applyFont="1" applyFill="1" applyBorder="1" applyAlignment="1">
      <alignment horizontal="center" vertical="center"/>
    </xf>
    <xf numFmtId="0" fontId="1" fillId="5" borderId="3" xfId="49" applyFont="1" applyFill="1" applyBorder="1" applyAlignment="1">
      <alignment horizontal="center" vertical="center"/>
    </xf>
    <xf numFmtId="49" fontId="1" fillId="0" borderId="3" xfId="49" applyNumberFormat="1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176" fontId="1" fillId="0" borderId="1" xfId="49" applyNumberFormat="1" applyFont="1" applyFill="1" applyBorder="1" applyAlignment="1">
      <alignment horizontal="center" vertical="center"/>
    </xf>
    <xf numFmtId="177" fontId="1" fillId="0" borderId="1" xfId="49" applyNumberFormat="1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49" fontId="1" fillId="4" borderId="3" xfId="49" applyNumberFormat="1" applyFont="1" applyFill="1" applyBorder="1" applyAlignment="1">
      <alignment horizontal="center" vertical="center"/>
    </xf>
    <xf numFmtId="0" fontId="2" fillId="0" borderId="1" xfId="49" applyNumberFormat="1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176" fontId="2" fillId="0" borderId="1" xfId="49" applyNumberFormat="1" applyFont="1" applyBorder="1" applyAlignment="1">
      <alignment horizontal="center" vertical="center"/>
    </xf>
    <xf numFmtId="177" fontId="2" fillId="0" borderId="1" xfId="49" applyNumberFormat="1" applyFont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6" borderId="1" xfId="49" applyNumberFormat="1" applyFont="1" applyFill="1" applyBorder="1" applyAlignment="1">
      <alignment horizontal="center" vertical="center"/>
    </xf>
    <xf numFmtId="49" fontId="8" fillId="6" borderId="3" xfId="49" applyNumberFormat="1" applyFont="1" applyFill="1" applyBorder="1" applyAlignment="1">
      <alignment horizontal="center" vertical="center"/>
    </xf>
    <xf numFmtId="49" fontId="4" fillId="0" borderId="3" xfId="49" applyNumberFormat="1" applyFont="1" applyFill="1" applyBorder="1" applyAlignment="1">
      <alignment horizontal="center" vertical="center"/>
    </xf>
    <xf numFmtId="0" fontId="4" fillId="0" borderId="3" xfId="49" applyFont="1" applyFill="1" applyBorder="1" applyAlignment="1">
      <alignment horizontal="center" vertical="center"/>
    </xf>
    <xf numFmtId="177" fontId="4" fillId="0" borderId="3" xfId="49" applyNumberFormat="1" applyFont="1" applyFill="1" applyBorder="1" applyAlignment="1">
      <alignment horizontal="center" vertical="center"/>
    </xf>
    <xf numFmtId="49" fontId="4" fillId="6" borderId="3" xfId="49" applyNumberFormat="1" applyFont="1" applyFill="1" applyBorder="1" applyAlignment="1">
      <alignment horizontal="center" vertical="center"/>
    </xf>
    <xf numFmtId="49" fontId="1" fillId="2" borderId="6" xfId="49" applyNumberFormat="1" applyFont="1" applyFill="1" applyBorder="1" applyAlignment="1">
      <alignment horizontal="center" vertical="center"/>
    </xf>
    <xf numFmtId="0" fontId="1" fillId="0" borderId="6" xfId="49" applyFont="1" applyBorder="1" applyAlignment="1">
      <alignment horizontal="center" vertical="center"/>
    </xf>
    <xf numFmtId="49" fontId="8" fillId="6" borderId="1" xfId="49" applyNumberFormat="1" applyFont="1" applyFill="1" applyBorder="1" applyAlignment="1">
      <alignment horizontal="center" vertical="center"/>
    </xf>
    <xf numFmtId="176" fontId="1" fillId="0" borderId="6" xfId="49" applyNumberFormat="1" applyFont="1" applyBorder="1" applyAlignment="1">
      <alignment horizontal="center" vertical="center"/>
    </xf>
    <xf numFmtId="177" fontId="1" fillId="0" borderId="6" xfId="49" applyNumberFormat="1" applyFont="1" applyBorder="1" applyAlignment="1">
      <alignment horizontal="center" vertical="center"/>
    </xf>
    <xf numFmtId="176" fontId="1" fillId="0" borderId="6" xfId="49" applyNumberFormat="1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49" fontId="1" fillId="0" borderId="6" xfId="49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8" fillId="0" borderId="3" xfId="49" applyNumberFormat="1" applyFont="1" applyFill="1" applyBorder="1" applyAlignment="1">
      <alignment horizontal="center" vertical="center"/>
    </xf>
    <xf numFmtId="0" fontId="4" fillId="5" borderId="3" xfId="49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7" fontId="1" fillId="0" borderId="3" xfId="49" applyNumberFormat="1" applyFont="1" applyFill="1" applyBorder="1" applyAlignment="1">
      <alignment horizontal="center" vertical="center"/>
    </xf>
    <xf numFmtId="49" fontId="1" fillId="5" borderId="3" xfId="49" applyNumberFormat="1" applyFont="1" applyFill="1" applyBorder="1" applyAlignment="1">
      <alignment horizontal="center" vertical="center"/>
    </xf>
    <xf numFmtId="0" fontId="2" fillId="0" borderId="3" xfId="49" applyFont="1" applyBorder="1" applyAlignment="1">
      <alignment horizontal="center" vertical="center"/>
    </xf>
    <xf numFmtId="176" fontId="2" fillId="0" borderId="3" xfId="49" applyNumberFormat="1" applyFont="1" applyBorder="1" applyAlignment="1">
      <alignment horizontal="center" vertical="center"/>
    </xf>
    <xf numFmtId="177" fontId="2" fillId="0" borderId="3" xfId="49" applyNumberFormat="1" applyFont="1" applyBorder="1" applyAlignment="1">
      <alignment horizontal="center" vertical="center"/>
    </xf>
    <xf numFmtId="176" fontId="2" fillId="0" borderId="3" xfId="49" applyNumberFormat="1" applyFont="1" applyFill="1" applyBorder="1" applyAlignment="1">
      <alignment horizontal="center" vertical="center"/>
    </xf>
    <xf numFmtId="49" fontId="9" fillId="0" borderId="3" xfId="49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5" borderId="3" xfId="49" applyNumberFormat="1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177" fontId="4" fillId="0" borderId="1" xfId="49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4" fillId="2" borderId="3" xfId="49" applyFont="1" applyFill="1" applyBorder="1" applyAlignment="1">
      <alignment horizontal="center" vertical="center"/>
    </xf>
    <xf numFmtId="49" fontId="1" fillId="0" borderId="7" xfId="49" applyNumberFormat="1" applyFont="1" applyBorder="1" applyAlignment="1">
      <alignment horizontal="center" vertical="center"/>
    </xf>
    <xf numFmtId="0" fontId="1" fillId="0" borderId="7" xfId="49" applyFont="1" applyBorder="1" applyAlignment="1">
      <alignment horizontal="center" vertical="center"/>
    </xf>
    <xf numFmtId="176" fontId="1" fillId="0" borderId="7" xfId="49" applyNumberFormat="1" applyFont="1" applyBorder="1" applyAlignment="1">
      <alignment horizontal="center" vertical="center"/>
    </xf>
    <xf numFmtId="177" fontId="1" fillId="0" borderId="7" xfId="49" applyNumberFormat="1" applyFont="1" applyBorder="1" applyAlignment="1">
      <alignment horizontal="center" vertical="center"/>
    </xf>
    <xf numFmtId="176" fontId="1" fillId="0" borderId="7" xfId="49" applyNumberFormat="1" applyFont="1" applyFill="1" applyBorder="1" applyAlignment="1">
      <alignment horizontal="center" vertical="center"/>
    </xf>
    <xf numFmtId="177" fontId="4" fillId="0" borderId="7" xfId="49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5" borderId="1" xfId="49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49" fontId="1" fillId="0" borderId="0" xfId="49" applyNumberFormat="1" applyFont="1" applyBorder="1" applyAlignment="1">
      <alignment horizontal="center" vertical="center"/>
    </xf>
    <xf numFmtId="0" fontId="1" fillId="0" borderId="0" xfId="49" applyFont="1" applyBorder="1" applyAlignment="1">
      <alignment horizontal="center" vertical="center"/>
    </xf>
    <xf numFmtId="0" fontId="1" fillId="2" borderId="6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/>
    </xf>
    <xf numFmtId="0" fontId="1" fillId="0" borderId="8" xfId="49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Border="1">
      <alignment vertical="center"/>
    </xf>
    <xf numFmtId="49" fontId="1" fillId="0" borderId="0" xfId="49" applyNumberFormat="1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center" vertical="center"/>
    </xf>
    <xf numFmtId="0" fontId="4" fillId="0" borderId="0" xfId="49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1" fillId="0" borderId="0" xfId="49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4" fillId="0" borderId="0" xfId="49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2" fillId="0" borderId="0" xfId="49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1" fillId="0" borderId="6" xfId="49" applyNumberFormat="1" applyFont="1" applyFill="1" applyBorder="1" applyAlignment="1">
      <alignment horizontal="center" vertical="center"/>
    </xf>
    <xf numFmtId="0" fontId="1" fillId="0" borderId="6" xfId="49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5" fillId="0" borderId="1" xfId="49" applyNumberFormat="1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176" fontId="5" fillId="0" borderId="1" xfId="49" applyNumberFormat="1" applyFont="1" applyBorder="1" applyAlignment="1">
      <alignment horizontal="center" vertical="center"/>
    </xf>
    <xf numFmtId="177" fontId="5" fillId="0" borderId="1" xfId="49" applyNumberFormat="1" applyFont="1" applyBorder="1" applyAlignment="1">
      <alignment horizontal="center" vertical="center"/>
    </xf>
    <xf numFmtId="176" fontId="5" fillId="0" borderId="1" xfId="49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1" fillId="0" borderId="2" xfId="49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49" applyFont="1" applyBorder="1" applyAlignment="1">
      <alignment horizontal="center" vertical="center"/>
    </xf>
    <xf numFmtId="0" fontId="4" fillId="0" borderId="4" xfId="49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2" fillId="0" borderId="6" xfId="49" applyFont="1" applyBorder="1" applyAlignment="1">
      <alignment horizontal="center" vertical="center"/>
    </xf>
    <xf numFmtId="176" fontId="2" fillId="0" borderId="6" xfId="49" applyNumberFormat="1" applyFont="1" applyBorder="1" applyAlignment="1">
      <alignment horizontal="center" vertical="center"/>
    </xf>
    <xf numFmtId="177" fontId="2" fillId="0" borderId="6" xfId="49" applyNumberFormat="1" applyFont="1" applyBorder="1" applyAlignment="1">
      <alignment horizontal="center" vertical="center"/>
    </xf>
    <xf numFmtId="176" fontId="2" fillId="0" borderId="6" xfId="49" applyNumberFormat="1" applyFont="1" applyFill="1" applyBorder="1" applyAlignment="1">
      <alignment horizontal="center" vertical="center"/>
    </xf>
    <xf numFmtId="177" fontId="4" fillId="0" borderId="6" xfId="49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7">
    <dxf>
      <fill>
        <patternFill patternType="solid">
          <bgColor rgb="FFFF9900"/>
        </patternFill>
      </fill>
    </dxf>
    <dxf>
      <font>
        <b val="1"/>
        <i val="0"/>
        <color rgb="FFFF0000"/>
      </font>
    </dxf>
    <dxf>
      <fill>
        <patternFill patternType="solid">
          <bgColor theme="2"/>
        </patternFill>
      </fill>
      <border>
        <bottom style="thin">
          <color theme="3" tint="0.4"/>
        </bottom>
      </border>
    </dxf>
    <dxf>
      <font>
        <color rgb="FFFF0000"/>
      </font>
      <numFmt numFmtId="0" formatCode="General"/>
    </dxf>
    <dxf>
      <font>
        <color rgb="FFFF0000"/>
      </font>
    </dxf>
    <dxf>
      <font>
        <b val="1"/>
        <i val="0"/>
        <color theme="5" tint="-0.25"/>
      </font>
    </dxf>
    <dxf>
      <font>
        <b val="1"/>
        <i val="0"/>
        <color theme="9"/>
      </font>
    </dxf>
  </dxfs>
  <tableStyles count="0" defaultTableStyle="TableStyleMedium2" defaultPivotStyle="PivotStyleLight16"/>
  <colors>
    <mruColors>
      <color rgb="0092D050"/>
      <color rgb="001C1CFA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1" Type="http://schemas.openxmlformats.org/officeDocument/2006/relationships/styles" Target="styles.xml"/><Relationship Id="rId200" Type="http://schemas.openxmlformats.org/officeDocument/2006/relationships/sheetMetadata" Target="metadata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sharedStrings" Target="sharedStrings.xml"/><Relationship Id="rId198" Type="http://schemas.openxmlformats.org/officeDocument/2006/relationships/theme" Target="theme/theme1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C23" sqref="C23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101</v>
      </c>
      <c r="B1" s="2">
        <f>SUM(B3:B23)</f>
        <v>5070</v>
      </c>
      <c r="C1" s="3" cm="1">
        <f t="array" ref="C1">SUMPRODUCT(C3:C23*B3:B23)/B1</f>
        <v>165.107660749507</v>
      </c>
      <c r="D1" s="4" cm="1">
        <f t="array" ref="D1">SUMPRODUCT(B3:B23*D3:D23)/B1</f>
        <v>3.87791558185404</v>
      </c>
      <c r="E1" s="3" cm="1">
        <f t="array" ref="E1">SUMPRODUCT(B3:B23*E3:E23)/B1</f>
        <v>75.6641262327416</v>
      </c>
      <c r="F1" s="3" cm="1">
        <f t="array" ref="F1">SUMPRODUCT(B3:B23*F3:F23)/B1</f>
        <v>92.0416331360947</v>
      </c>
      <c r="G1" s="3" cm="1">
        <f t="array" ref="G1">SUMPRODUCT(B3:B23*G3:G23)/B1</f>
        <v>12.0179057199211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6</v>
      </c>
      <c r="B3" s="9">
        <v>529.4</v>
      </c>
      <c r="C3" s="10">
        <v>104.9</v>
      </c>
      <c r="D3" s="11">
        <v>2.83</v>
      </c>
      <c r="E3" s="12">
        <v>57.4</v>
      </c>
      <c r="F3" s="12">
        <v>82.5</v>
      </c>
      <c r="G3" s="11">
        <v>10.68</v>
      </c>
      <c r="H3" s="34">
        <v>24120383</v>
      </c>
    </row>
    <row r="4" ht="16.5" spans="1:8">
      <c r="A4" s="39" t="s">
        <v>7</v>
      </c>
      <c r="B4" s="9">
        <v>490.4</v>
      </c>
      <c r="C4" s="10">
        <v>273.8</v>
      </c>
      <c r="D4" s="11">
        <v>5.81</v>
      </c>
      <c r="E4" s="12">
        <v>85.3</v>
      </c>
      <c r="F4" s="12">
        <v>96.7</v>
      </c>
      <c r="G4" s="11">
        <v>11.4</v>
      </c>
      <c r="H4" s="34">
        <v>24120138</v>
      </c>
    </row>
    <row r="5" ht="16.5" spans="1:8">
      <c r="A5" s="39" t="s">
        <v>8</v>
      </c>
      <c r="B5" s="9">
        <v>436.8</v>
      </c>
      <c r="C5" s="10">
        <v>268.1</v>
      </c>
      <c r="D5" s="11">
        <v>5.81</v>
      </c>
      <c r="E5" s="12">
        <v>85</v>
      </c>
      <c r="F5" s="12">
        <v>96.1</v>
      </c>
      <c r="G5" s="11">
        <v>11.38</v>
      </c>
      <c r="H5" s="34">
        <v>24120139</v>
      </c>
    </row>
    <row r="6" ht="16.5" spans="1:8">
      <c r="A6" s="39" t="s">
        <v>9</v>
      </c>
      <c r="B6" s="9">
        <v>613.2</v>
      </c>
      <c r="C6" s="10">
        <v>61.1</v>
      </c>
      <c r="D6" s="11">
        <v>1.69</v>
      </c>
      <c r="E6" s="12">
        <v>82.7</v>
      </c>
      <c r="F6" s="12">
        <v>96.7</v>
      </c>
      <c r="G6" s="11">
        <v>12.91</v>
      </c>
      <c r="H6" s="34">
        <v>24110253</v>
      </c>
    </row>
    <row r="7" ht="16.5" spans="1:8">
      <c r="A7" s="39" t="s">
        <v>10</v>
      </c>
      <c r="B7" s="9">
        <v>457.2</v>
      </c>
      <c r="C7" s="10">
        <v>268.1</v>
      </c>
      <c r="D7" s="11">
        <v>5.68</v>
      </c>
      <c r="E7" s="12">
        <v>91.9</v>
      </c>
      <c r="F7" s="12">
        <v>98.9</v>
      </c>
      <c r="G7" s="11">
        <v>11.88</v>
      </c>
      <c r="H7" s="34">
        <v>24120234</v>
      </c>
    </row>
    <row r="8" ht="16.5" spans="1:8">
      <c r="A8" s="39" t="s">
        <v>11</v>
      </c>
      <c r="B8" s="9">
        <v>503.4</v>
      </c>
      <c r="C8" s="10">
        <v>238</v>
      </c>
      <c r="D8" s="11">
        <v>5.52</v>
      </c>
      <c r="E8" s="12">
        <v>86.3</v>
      </c>
      <c r="F8" s="12">
        <v>96.8</v>
      </c>
      <c r="G8" s="11">
        <v>11.88</v>
      </c>
      <c r="H8" s="34">
        <v>24120440</v>
      </c>
    </row>
    <row r="9" ht="16.5" spans="1:8">
      <c r="A9" s="39" t="s">
        <v>12</v>
      </c>
      <c r="B9" s="9">
        <v>541.4</v>
      </c>
      <c r="C9" s="10">
        <v>94.2</v>
      </c>
      <c r="D9" s="11">
        <v>2.64</v>
      </c>
      <c r="E9" s="12">
        <v>53.1</v>
      </c>
      <c r="F9" s="12">
        <v>80.3</v>
      </c>
      <c r="G9" s="11">
        <v>11.95</v>
      </c>
      <c r="H9" s="34">
        <v>24120381</v>
      </c>
    </row>
    <row r="10" ht="16.5" spans="1:8">
      <c r="A10" s="39" t="s">
        <v>13</v>
      </c>
      <c r="B10" s="9">
        <v>478.4</v>
      </c>
      <c r="C10" s="10">
        <v>62</v>
      </c>
      <c r="D10" s="11">
        <v>1.72</v>
      </c>
      <c r="E10" s="12">
        <v>74.1</v>
      </c>
      <c r="F10" s="12">
        <v>92.8</v>
      </c>
      <c r="G10" s="11">
        <v>12.75</v>
      </c>
      <c r="H10" s="34">
        <v>24110272</v>
      </c>
    </row>
    <row r="11" ht="16.5" spans="1:8">
      <c r="A11" s="39" t="s">
        <v>14</v>
      </c>
      <c r="B11" s="9">
        <v>236</v>
      </c>
      <c r="C11" s="10">
        <v>253.4</v>
      </c>
      <c r="D11" s="11">
        <v>5.46</v>
      </c>
      <c r="E11" s="12">
        <v>86.8</v>
      </c>
      <c r="F11" s="12">
        <v>97</v>
      </c>
      <c r="G11" s="11">
        <v>12.52</v>
      </c>
      <c r="H11" s="34">
        <v>24120464</v>
      </c>
    </row>
    <row r="12" ht="16.5" spans="1:8">
      <c r="A12" s="39" t="s">
        <v>15</v>
      </c>
      <c r="B12" s="9">
        <v>271.8</v>
      </c>
      <c r="C12" s="10">
        <v>207.5</v>
      </c>
      <c r="D12" s="11">
        <v>5.49</v>
      </c>
      <c r="E12" s="12">
        <v>79.8</v>
      </c>
      <c r="F12" s="12">
        <v>93.8</v>
      </c>
      <c r="G12" s="11">
        <v>12.87</v>
      </c>
      <c r="H12" s="9">
        <v>24120606</v>
      </c>
    </row>
    <row r="13" ht="16.5" spans="1:8">
      <c r="A13" s="39" t="s">
        <v>16</v>
      </c>
      <c r="B13" s="9">
        <v>304.6</v>
      </c>
      <c r="C13" s="10">
        <v>106.3</v>
      </c>
      <c r="D13" s="11">
        <v>2.64</v>
      </c>
      <c r="E13" s="12">
        <v>63.1</v>
      </c>
      <c r="F13" s="12">
        <v>86.9</v>
      </c>
      <c r="G13" s="11">
        <v>13.1</v>
      </c>
      <c r="H13" s="34">
        <v>24120585</v>
      </c>
    </row>
    <row r="14" ht="16.5" spans="1:8">
      <c r="A14" s="39" t="s">
        <v>17</v>
      </c>
      <c r="B14" s="9">
        <v>207.4</v>
      </c>
      <c r="C14" s="10">
        <v>101.7</v>
      </c>
      <c r="D14" s="11">
        <v>2.54</v>
      </c>
      <c r="E14" s="12">
        <v>60.3</v>
      </c>
      <c r="F14" s="12">
        <v>84.9</v>
      </c>
      <c r="G14" s="11">
        <v>11.45</v>
      </c>
      <c r="H14" s="34">
        <v>24120555</v>
      </c>
    </row>
  </sheetData>
  <conditionalFormatting sqref="A1:A12 A14:A1048576">
    <cfRule type="duplicateValues" dxfId="0" priority="3"/>
  </conditionalFormatting>
  <dataValidations count="1">
    <dataValidation allowBlank="1" showInputMessage="1" showErrorMessage="1" sqref="B3:C14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E26" sqref="E26"/>
    </sheetView>
  </sheetViews>
  <sheetFormatPr defaultColWidth="9" defaultRowHeight="13.5" outlineLevelRow="3" outlineLevelCol="6"/>
  <cols>
    <col min="1" max="1" width="15.625" customWidth="1"/>
    <col min="7" max="7" width="9.375"/>
  </cols>
  <sheetData>
    <row r="1" ht="16.5" spans="1:7">
      <c r="A1" s="116">
        <v>102</v>
      </c>
      <c r="B1" s="2">
        <f>SUM(B3:B23)</f>
        <v>207.4</v>
      </c>
      <c r="C1" s="3" cm="1">
        <f t="array" ref="C1">SUMPRODUCT(C3:C23*B3:B23)/B1</f>
        <v>194.951108968177</v>
      </c>
      <c r="D1" s="4" cm="1">
        <f t="array" ref="D1">SUMPRODUCT(B3:B23*D3:D23)/B1</f>
        <v>4.0768756027001</v>
      </c>
      <c r="E1" s="3" cm="1">
        <f t="array" ref="E1">SUMPRODUCT(B3:B23*E3:E23)/B1</f>
        <v>77.9025072324012</v>
      </c>
      <c r="F1" s="3" cm="1">
        <f t="array" ref="F1">SUMPRODUCT(B3:B23*F3:F23)/B1</f>
        <v>93.0725168756027</v>
      </c>
    </row>
    <row r="2" ht="16.5" spans="1:7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18</v>
      </c>
      <c r="B3" s="9">
        <v>137.4</v>
      </c>
      <c r="C3" s="10">
        <v>198.9</v>
      </c>
      <c r="D3" s="11">
        <v>4.06</v>
      </c>
      <c r="E3" s="12">
        <v>77.7</v>
      </c>
      <c r="F3" s="12">
        <v>92.6</v>
      </c>
      <c r="G3" s="24">
        <v>24120361</v>
      </c>
    </row>
    <row r="4" ht="16.5" spans="1:7">
      <c r="A4" s="101">
        <v>1238</v>
      </c>
      <c r="B4" s="101">
        <v>70</v>
      </c>
      <c r="C4" s="1">
        <v>187.2</v>
      </c>
      <c r="D4" s="1">
        <v>4.11</v>
      </c>
      <c r="E4" s="2">
        <v>78.3</v>
      </c>
      <c r="F4" s="2">
        <v>94</v>
      </c>
    </row>
  </sheetData>
  <conditionalFormatting sqref="C4">
    <cfRule type="expression" dxfId="1" priority="6">
      <formula>C4:C752&lt;AM4:AM752</formula>
    </cfRule>
    <cfRule type="expression" dxfId="2" priority="7">
      <formula>AND(MOD(ROW(),2)=1,#REF!&lt;&gt;"")</formula>
    </cfRule>
  </conditionalFormatting>
  <conditionalFormatting sqref="D4">
    <cfRule type="expression" dxfId="1" priority="4">
      <formula>D4:D5&lt;AC4:AC752</formula>
    </cfRule>
    <cfRule type="expression" dxfId="2" priority="5">
      <formula>AND(MOD(ROW(),2)=1,#REF!&lt;&gt;"")</formula>
    </cfRule>
  </conditionalFormatting>
  <conditionalFormatting sqref="E4:F4">
    <cfRule type="expression" dxfId="2" priority="3">
      <formula>AND(MOD(ROW(),2)=1,#REF!&lt;&gt;"")</formula>
    </cfRule>
  </conditionalFormatting>
  <conditionalFormatting sqref="E4">
    <cfRule type="expression" dxfId="1" priority="2">
      <formula>E4:E752&lt;AO4:AO752</formula>
    </cfRule>
  </conditionalFormatting>
  <conditionalFormatting sqref="F4">
    <cfRule type="expression" dxfId="1" priority="1">
      <formula>F4:F7&lt;AP4:AP752</formula>
    </cfRule>
  </conditionalFormatting>
  <conditionalFormatting sqref="A1:A2">
    <cfRule type="duplicateValues" dxfId="0" priority="8"/>
  </conditionalFormatting>
  <dataValidations count="1">
    <dataValidation allowBlank="1" showInputMessage="1" showErrorMessage="1" sqref="B3:C3 C4"/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K22" sqref="K22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103</v>
      </c>
      <c r="B1" s="2">
        <f>SUM(B3:B23)</f>
        <v>5187.4</v>
      </c>
      <c r="C1" s="3">
        <f>SUMPRODUCT(C3:C23*B3:B23)/B1</f>
        <v>236.508374137333</v>
      </c>
      <c r="D1" s="4">
        <f>SUMPRODUCT(B3:B23*D3:D23)/B1</f>
        <v>4.97255619385434</v>
      </c>
      <c r="E1" s="3">
        <f>SUMPRODUCT(B3:B23*E3:E23)/B1</f>
        <v>87.921779696958</v>
      </c>
      <c r="F1" s="3" cm="1">
        <f t="array" ref="F1">SUMPRODUCT(B3:B23*F3:F23)/B1</f>
        <v>96.0536723599491</v>
      </c>
      <c r="G1" s="3" cm="1">
        <f t="array" ref="G1">SUMPRODUCT(B3:B23*G3:G23)/B1</f>
        <v>12.3405925897367</v>
      </c>
    </row>
    <row r="2" ht="16.5" spans="1:8">
      <c r="A2" s="52">
        <v>220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52" t="s">
        <v>19</v>
      </c>
    </row>
    <row r="3" ht="16.5" spans="1:8">
      <c r="A3" s="54" t="s">
        <v>20</v>
      </c>
      <c r="B3" s="9">
        <v>460.4</v>
      </c>
      <c r="C3" s="10">
        <v>230.1</v>
      </c>
      <c r="D3" s="11">
        <v>5</v>
      </c>
      <c r="E3" s="12">
        <v>91.3</v>
      </c>
      <c r="F3" s="12">
        <v>97.7</v>
      </c>
      <c r="G3" s="36">
        <v>12.17</v>
      </c>
      <c r="H3" s="34">
        <v>24100175</v>
      </c>
    </row>
    <row r="4" ht="16.5" spans="1:8">
      <c r="A4" s="54" t="s">
        <v>21</v>
      </c>
      <c r="B4" s="9">
        <v>498.4</v>
      </c>
      <c r="C4" s="10">
        <v>164.7</v>
      </c>
      <c r="D4" s="11">
        <v>4.38</v>
      </c>
      <c r="E4" s="12">
        <v>78.4</v>
      </c>
      <c r="F4" s="12">
        <v>91.8</v>
      </c>
      <c r="G4" s="36">
        <v>11.08</v>
      </c>
      <c r="H4" s="34">
        <v>24090164</v>
      </c>
    </row>
    <row r="5" ht="16.5" spans="1:8">
      <c r="A5" s="54" t="s">
        <v>22</v>
      </c>
      <c r="B5" s="9">
        <v>505.2</v>
      </c>
      <c r="C5" s="10">
        <v>158.5</v>
      </c>
      <c r="D5" s="11">
        <v>4.29</v>
      </c>
      <c r="E5" s="12">
        <v>78.6</v>
      </c>
      <c r="F5" s="12">
        <v>92.2</v>
      </c>
      <c r="G5" s="36">
        <v>10.86</v>
      </c>
      <c r="H5" s="34">
        <v>24090165</v>
      </c>
    </row>
    <row r="6" ht="16.5" spans="1:8">
      <c r="A6" s="54" t="s">
        <v>23</v>
      </c>
      <c r="B6" s="9">
        <v>429.4</v>
      </c>
      <c r="C6" s="10">
        <v>243.6</v>
      </c>
      <c r="D6" s="11">
        <v>6</v>
      </c>
      <c r="E6" s="12">
        <v>86.9</v>
      </c>
      <c r="F6" s="12">
        <v>95</v>
      </c>
      <c r="G6" s="36">
        <v>11.14</v>
      </c>
      <c r="H6" s="34">
        <v>24090159</v>
      </c>
    </row>
    <row r="7" ht="16.5" spans="1:8">
      <c r="A7" s="54" t="s">
        <v>24</v>
      </c>
      <c r="B7" s="9">
        <v>524.2</v>
      </c>
      <c r="C7" s="10">
        <v>280.8</v>
      </c>
      <c r="D7" s="11">
        <v>4.86</v>
      </c>
      <c r="E7" s="12">
        <v>94.4</v>
      </c>
      <c r="F7" s="12">
        <v>98.6</v>
      </c>
      <c r="G7" s="36">
        <v>12.01</v>
      </c>
      <c r="H7" s="34">
        <v>24100148</v>
      </c>
    </row>
    <row r="8" ht="16.5" spans="1:8">
      <c r="A8" s="54" t="s">
        <v>25</v>
      </c>
      <c r="B8" s="97">
        <v>540.6</v>
      </c>
      <c r="C8" s="98">
        <v>266.1</v>
      </c>
      <c r="D8" s="99">
        <v>4.61</v>
      </c>
      <c r="E8" s="100">
        <v>90.1</v>
      </c>
      <c r="F8" s="100">
        <v>97</v>
      </c>
      <c r="G8" s="36">
        <v>12.74</v>
      </c>
      <c r="H8" s="34">
        <v>24070286</v>
      </c>
    </row>
    <row r="9" ht="16.5" spans="1:8">
      <c r="A9" s="54" t="s">
        <v>26</v>
      </c>
      <c r="B9" s="9">
        <v>462.6</v>
      </c>
      <c r="C9" s="10">
        <v>235.3</v>
      </c>
      <c r="D9" s="11">
        <v>5.71</v>
      </c>
      <c r="E9" s="12">
        <v>84.3</v>
      </c>
      <c r="F9" s="12">
        <v>95</v>
      </c>
      <c r="G9" s="36">
        <v>12.29</v>
      </c>
      <c r="H9" s="34">
        <v>24070294</v>
      </c>
    </row>
    <row r="10" ht="16.5" spans="1:8">
      <c r="A10" s="54" t="s">
        <v>27</v>
      </c>
      <c r="B10" s="9">
        <v>214.6</v>
      </c>
      <c r="C10" s="10">
        <v>257.6</v>
      </c>
      <c r="D10" s="11">
        <v>4.66</v>
      </c>
      <c r="E10" s="12">
        <v>90.6</v>
      </c>
      <c r="F10" s="12">
        <v>97.3</v>
      </c>
      <c r="G10" s="36">
        <v>12.52</v>
      </c>
      <c r="H10" s="34">
        <v>24070292</v>
      </c>
    </row>
    <row r="11" ht="16.5" spans="1:8">
      <c r="A11" s="54" t="s">
        <v>28</v>
      </c>
      <c r="B11" s="97">
        <v>519.2</v>
      </c>
      <c r="C11" s="98">
        <v>231</v>
      </c>
      <c r="D11" s="99">
        <v>5.33</v>
      </c>
      <c r="E11" s="100">
        <v>84.7</v>
      </c>
      <c r="F11" s="100">
        <v>94.9</v>
      </c>
      <c r="G11" s="36">
        <v>14.01</v>
      </c>
      <c r="H11" s="34">
        <v>24070270</v>
      </c>
    </row>
    <row r="12" ht="16.5" spans="1:8">
      <c r="A12" s="54" t="s">
        <v>29</v>
      </c>
      <c r="B12" s="9">
        <v>517.8</v>
      </c>
      <c r="C12" s="10">
        <v>283.4</v>
      </c>
      <c r="D12" s="11">
        <v>4.89</v>
      </c>
      <c r="E12" s="12">
        <v>95.2</v>
      </c>
      <c r="F12" s="12">
        <v>99</v>
      </c>
      <c r="G12" s="36">
        <v>12.71</v>
      </c>
      <c r="H12" s="34">
        <v>24100150</v>
      </c>
    </row>
    <row r="13" ht="16.5" spans="1:8">
      <c r="A13" s="54" t="s">
        <v>30</v>
      </c>
      <c r="B13" s="9">
        <v>515</v>
      </c>
      <c r="C13" s="10">
        <v>256.9</v>
      </c>
      <c r="D13" s="11">
        <v>5.02</v>
      </c>
      <c r="E13" s="12">
        <v>93.3</v>
      </c>
      <c r="F13" s="12">
        <v>98.4</v>
      </c>
      <c r="G13" s="11">
        <v>14</v>
      </c>
      <c r="H13" s="9">
        <v>24100172</v>
      </c>
    </row>
    <row r="27" ht="16.5" spans="1:8">
      <c r="A27" s="116">
        <v>104</v>
      </c>
      <c r="B27" s="2">
        <f>SUM(B29:B49)</f>
        <v>5125</v>
      </c>
      <c r="C27" s="3">
        <f>SUMPRODUCT(C29:C49*B29:B49)/B27</f>
        <v>236.526181463415</v>
      </c>
      <c r="D27" s="4">
        <f>SUMPRODUCT(B29:B49*D29:D49)/B27</f>
        <v>4.96808624390244</v>
      </c>
      <c r="E27" s="3">
        <f>SUMPRODUCT(B29:B49*E29:E49)/B27</f>
        <v>86.1293229268293</v>
      </c>
      <c r="F27" s="3" cm="1">
        <f t="array" ref="F27">SUMPRODUCT(B29:B49*F29:F49)/B27</f>
        <v>95.2197697560976</v>
      </c>
      <c r="G27" s="3" cm="1">
        <f t="array" ref="G27">SUMPRODUCT(B29:B49*G29:G49)/B27</f>
        <v>12.4684218536585</v>
      </c>
    </row>
    <row r="28" ht="16.5" spans="1:8">
      <c r="A28" s="52">
        <v>220</v>
      </c>
      <c r="B28" s="52" t="s">
        <v>0</v>
      </c>
      <c r="C28" s="52" t="s">
        <v>1</v>
      </c>
      <c r="D28" s="52" t="s">
        <v>2</v>
      </c>
      <c r="E28" s="52" t="s">
        <v>3</v>
      </c>
      <c r="F28" s="52" t="s">
        <v>4</v>
      </c>
      <c r="G28" s="52" t="s">
        <v>19</v>
      </c>
    </row>
    <row r="29" ht="16.5" spans="1:8">
      <c r="A29" s="108" t="s">
        <v>31</v>
      </c>
      <c r="B29" s="198">
        <v>538.4</v>
      </c>
      <c r="C29" s="199">
        <v>194.1</v>
      </c>
      <c r="D29" s="200">
        <v>5.38</v>
      </c>
      <c r="E29" s="201">
        <v>74.8</v>
      </c>
      <c r="F29" s="201">
        <v>90.1</v>
      </c>
      <c r="G29" s="202">
        <v>11.61</v>
      </c>
      <c r="H29" s="24">
        <v>24070274</v>
      </c>
    </row>
    <row r="30" ht="16.5" spans="1:8">
      <c r="A30" s="18" t="s">
        <v>32</v>
      </c>
      <c r="B30" s="122">
        <v>440</v>
      </c>
      <c r="C30" s="123">
        <v>190.8</v>
      </c>
      <c r="D30" s="124">
        <v>5.52</v>
      </c>
      <c r="E30" s="125">
        <v>74.8</v>
      </c>
      <c r="F30" s="125">
        <v>90.2</v>
      </c>
      <c r="G30" s="25">
        <v>13.35</v>
      </c>
      <c r="H30" s="24">
        <v>24070275</v>
      </c>
    </row>
    <row r="31" ht="16.5" spans="1:8">
      <c r="A31" s="18" t="s">
        <v>33</v>
      </c>
      <c r="B31" s="122">
        <v>303.4</v>
      </c>
      <c r="C31" s="123">
        <v>188</v>
      </c>
      <c r="D31" s="124">
        <v>5.55</v>
      </c>
      <c r="E31" s="125">
        <v>70.3</v>
      </c>
      <c r="F31" s="125">
        <v>87.6</v>
      </c>
      <c r="G31" s="25">
        <v>13.5</v>
      </c>
      <c r="H31" s="24">
        <v>24070276</v>
      </c>
    </row>
    <row r="32" ht="16.5" spans="1:8">
      <c r="A32" s="18" t="s">
        <v>34</v>
      </c>
      <c r="B32" s="14">
        <v>521.8</v>
      </c>
      <c r="C32" s="15">
        <v>266.5</v>
      </c>
      <c r="D32" s="16">
        <v>4.57</v>
      </c>
      <c r="E32" s="17">
        <v>90.5</v>
      </c>
      <c r="F32" s="17">
        <v>97.3</v>
      </c>
      <c r="G32" s="25">
        <v>12.45</v>
      </c>
      <c r="H32" s="24">
        <v>24070287</v>
      </c>
    </row>
    <row r="33" ht="16.5" spans="1:8">
      <c r="A33" s="18" t="s">
        <v>35</v>
      </c>
      <c r="B33" s="14">
        <v>326.2</v>
      </c>
      <c r="C33" s="15">
        <v>268.2</v>
      </c>
      <c r="D33" s="16">
        <v>4.61</v>
      </c>
      <c r="E33" s="17">
        <v>90.6</v>
      </c>
      <c r="F33" s="17">
        <v>97.5</v>
      </c>
      <c r="G33" s="25">
        <v>10.93</v>
      </c>
      <c r="H33" s="24">
        <v>24070288</v>
      </c>
    </row>
    <row r="34" ht="16.5" spans="1:8">
      <c r="A34" s="18" t="s">
        <v>36</v>
      </c>
      <c r="B34" s="14">
        <v>473.4</v>
      </c>
      <c r="C34" s="15">
        <v>256.7</v>
      </c>
      <c r="D34" s="16">
        <v>4.69</v>
      </c>
      <c r="E34" s="17">
        <v>90.7</v>
      </c>
      <c r="F34" s="17">
        <v>97.5</v>
      </c>
      <c r="G34" s="25">
        <v>10.99</v>
      </c>
      <c r="H34" s="24">
        <v>24070291</v>
      </c>
    </row>
    <row r="35" ht="16.5" spans="1:8">
      <c r="A35" s="18" t="s">
        <v>37</v>
      </c>
      <c r="B35" s="122">
        <v>543</v>
      </c>
      <c r="C35" s="123">
        <v>259</v>
      </c>
      <c r="D35" s="124">
        <v>4.63</v>
      </c>
      <c r="E35" s="125">
        <v>88.5</v>
      </c>
      <c r="F35" s="125">
        <v>96.9</v>
      </c>
      <c r="G35" s="25">
        <v>11.06</v>
      </c>
      <c r="H35" s="24">
        <v>24070266</v>
      </c>
    </row>
    <row r="36" ht="16.5" spans="1:8">
      <c r="A36" s="18" t="s">
        <v>38</v>
      </c>
      <c r="B36" s="14">
        <v>511.8</v>
      </c>
      <c r="C36" s="15">
        <v>283.1</v>
      </c>
      <c r="D36" s="16">
        <v>4.94</v>
      </c>
      <c r="E36" s="17">
        <v>95</v>
      </c>
      <c r="F36" s="17">
        <v>98.8</v>
      </c>
      <c r="G36" s="25">
        <v>12.63</v>
      </c>
      <c r="H36" s="24">
        <v>24100149</v>
      </c>
    </row>
    <row r="37" ht="16.5" spans="1:8">
      <c r="A37" s="18" t="s">
        <v>39</v>
      </c>
      <c r="B37" s="14">
        <v>404.8</v>
      </c>
      <c r="C37" s="15">
        <v>237.1</v>
      </c>
      <c r="D37" s="16">
        <v>5.05</v>
      </c>
      <c r="E37" s="17">
        <v>91.4</v>
      </c>
      <c r="F37" s="17">
        <v>97.2</v>
      </c>
      <c r="G37" s="25">
        <v>13.01</v>
      </c>
      <c r="H37" s="24">
        <v>24100177</v>
      </c>
    </row>
    <row r="38" ht="16.5" spans="1:8">
      <c r="A38" s="18" t="s">
        <v>40</v>
      </c>
      <c r="B38" s="14">
        <v>532.8</v>
      </c>
      <c r="C38" s="15">
        <v>205.3</v>
      </c>
      <c r="D38" s="16">
        <v>4.66</v>
      </c>
      <c r="E38" s="17">
        <v>83.2</v>
      </c>
      <c r="F38" s="17">
        <v>94</v>
      </c>
      <c r="G38" s="25">
        <v>13.77</v>
      </c>
      <c r="H38" s="24">
        <v>24100144</v>
      </c>
    </row>
    <row r="39" ht="16.5" spans="1:8">
      <c r="A39" s="18" t="s">
        <v>41</v>
      </c>
      <c r="B39" s="14">
        <v>529.4</v>
      </c>
      <c r="C39" s="15">
        <v>241.3</v>
      </c>
      <c r="D39" s="16">
        <v>5.24</v>
      </c>
      <c r="E39" s="17">
        <v>92.9</v>
      </c>
      <c r="F39" s="17">
        <v>98</v>
      </c>
      <c r="G39" s="25">
        <v>13.87</v>
      </c>
      <c r="H39" s="24">
        <v>24100154</v>
      </c>
    </row>
  </sheetData>
  <conditionalFormatting sqref="A1:A2">
    <cfRule type="duplicateValues" dxfId="0" priority="2"/>
  </conditionalFormatting>
  <conditionalFormatting sqref="A27:A28">
    <cfRule type="duplicateValues" dxfId="0" priority="1"/>
  </conditionalFormatting>
  <dataValidations count="1">
    <dataValidation allowBlank="1" showInputMessage="1" showErrorMessage="1" sqref="B3:C13 B29:C39"/>
  </dataValidation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J24" sqref="J24"/>
    </sheetView>
  </sheetViews>
  <sheetFormatPr defaultColWidth="9" defaultRowHeight="13.5"/>
  <cols>
    <col min="1" max="1" width="15.625" customWidth="1"/>
    <col min="7" max="8" width="9.375"/>
    <col min="10" max="10" width="15.625" customWidth="1"/>
    <col min="12" max="12" width="9.375"/>
  </cols>
  <sheetData>
    <row r="1" ht="16.5" spans="1:12">
      <c r="A1" s="116">
        <v>105</v>
      </c>
      <c r="B1" s="2">
        <f>SUM(B3:B23)</f>
        <v>5129.6</v>
      </c>
      <c r="C1" s="3">
        <f>SUMPRODUCT(C3:C23*B3:B23)/B1</f>
        <v>255.997290237055</v>
      </c>
      <c r="D1" s="4">
        <f>SUMPRODUCT(B3:B23*D3:D23)/B1</f>
        <v>4.97907673112913</v>
      </c>
      <c r="E1" s="3">
        <f>SUMPRODUCT(B3:B23*E3:E23)/B1</f>
        <v>90.636829382408</v>
      </c>
      <c r="F1" s="3" cm="1">
        <f t="array" ref="F1">SUMPRODUCT(B3:B23*F3:F23)/B1</f>
        <v>97.0331526824704</v>
      </c>
      <c r="G1" s="3" cm="1">
        <f t="array" ref="G1">SUMPRODUCT(B3:B23*G3:G23)/B1</f>
        <v>12.8394124298191</v>
      </c>
      <c r="J1" s="18" t="s">
        <v>42</v>
      </c>
      <c r="K1" s="14">
        <v>419</v>
      </c>
      <c r="L1" s="14">
        <v>24090156</v>
      </c>
    </row>
    <row r="2" ht="16.5" spans="1:12">
      <c r="A2" s="6"/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52" t="s">
        <v>19</v>
      </c>
    </row>
    <row r="3" ht="16.5" spans="1:12">
      <c r="A3" s="54" t="s">
        <v>43</v>
      </c>
      <c r="B3" s="9">
        <v>205.6</v>
      </c>
      <c r="C3" s="10">
        <v>295</v>
      </c>
      <c r="D3" s="11">
        <v>4.75</v>
      </c>
      <c r="E3" s="12">
        <v>92.2</v>
      </c>
      <c r="F3" s="12">
        <v>97.6</v>
      </c>
      <c r="G3" s="36">
        <v>12.37</v>
      </c>
      <c r="H3" s="34">
        <v>24100166</v>
      </c>
    </row>
    <row r="4" ht="16.5" spans="1:12">
      <c r="A4" s="54" t="s">
        <v>44</v>
      </c>
      <c r="B4" s="9">
        <v>487.6</v>
      </c>
      <c r="C4" s="10">
        <v>295.3</v>
      </c>
      <c r="D4" s="11">
        <v>4.77</v>
      </c>
      <c r="E4" s="12">
        <v>92.6</v>
      </c>
      <c r="F4" s="12">
        <v>97.8</v>
      </c>
      <c r="G4" s="36">
        <v>12</v>
      </c>
      <c r="H4" s="34">
        <v>24100167</v>
      </c>
    </row>
    <row r="5" ht="16.5" spans="1:12">
      <c r="A5" s="54" t="s">
        <v>45</v>
      </c>
      <c r="B5" s="9">
        <v>514.2</v>
      </c>
      <c r="C5" s="10">
        <v>296.2</v>
      </c>
      <c r="D5" s="11">
        <v>4.75</v>
      </c>
      <c r="E5" s="12">
        <v>92.7</v>
      </c>
      <c r="F5" s="12">
        <v>97.8</v>
      </c>
      <c r="G5" s="36">
        <v>12.34</v>
      </c>
      <c r="H5" s="34">
        <v>24100168</v>
      </c>
    </row>
    <row r="6" ht="16.5" spans="1:12">
      <c r="A6" s="54" t="s">
        <v>46</v>
      </c>
      <c r="B6" s="9">
        <v>469.8</v>
      </c>
      <c r="C6" s="10">
        <v>294.2</v>
      </c>
      <c r="D6" s="11">
        <v>4.77</v>
      </c>
      <c r="E6" s="12">
        <v>93</v>
      </c>
      <c r="F6" s="12">
        <v>97.8</v>
      </c>
      <c r="G6" s="36">
        <v>12.15</v>
      </c>
      <c r="H6" s="34">
        <v>24100169</v>
      </c>
    </row>
    <row r="7" ht="16.5" spans="1:12">
      <c r="A7" s="54" t="s">
        <v>47</v>
      </c>
      <c r="B7" s="9">
        <v>502.2</v>
      </c>
      <c r="C7" s="10">
        <v>269.3</v>
      </c>
      <c r="D7" s="11">
        <v>4.8</v>
      </c>
      <c r="E7" s="12">
        <v>92.8</v>
      </c>
      <c r="F7" s="12">
        <v>98</v>
      </c>
      <c r="G7" s="36">
        <v>13.42</v>
      </c>
      <c r="H7" s="34">
        <v>24100171</v>
      </c>
    </row>
    <row r="8" ht="16.5" spans="1:12">
      <c r="A8" s="54" t="s">
        <v>48</v>
      </c>
      <c r="B8" s="9">
        <v>458.8</v>
      </c>
      <c r="C8" s="10">
        <v>255.8</v>
      </c>
      <c r="D8" s="11">
        <v>5.02</v>
      </c>
      <c r="E8" s="12">
        <v>93.1</v>
      </c>
      <c r="F8" s="12">
        <v>98.1</v>
      </c>
      <c r="G8" s="36">
        <v>13.82</v>
      </c>
      <c r="H8" s="34">
        <v>24100173</v>
      </c>
    </row>
    <row r="9" ht="16.5" spans="1:12">
      <c r="A9" s="54" t="s">
        <v>49</v>
      </c>
      <c r="B9" s="97">
        <v>506.6</v>
      </c>
      <c r="C9" s="98">
        <v>210.5</v>
      </c>
      <c r="D9" s="99">
        <v>5.76</v>
      </c>
      <c r="E9" s="100">
        <v>76.4</v>
      </c>
      <c r="F9" s="100">
        <v>91.4</v>
      </c>
      <c r="G9" s="36">
        <v>11.57</v>
      </c>
      <c r="H9" s="34">
        <v>24070299</v>
      </c>
    </row>
    <row r="10" ht="16.5" spans="1:12">
      <c r="A10" s="54" t="s">
        <v>50</v>
      </c>
      <c r="B10" s="9">
        <v>438.4</v>
      </c>
      <c r="C10" s="10">
        <v>135.7</v>
      </c>
      <c r="D10" s="11">
        <v>3.65</v>
      </c>
      <c r="E10" s="12">
        <v>83.6</v>
      </c>
      <c r="F10" s="12">
        <v>94.2</v>
      </c>
      <c r="G10" s="36">
        <v>14.38</v>
      </c>
      <c r="H10" s="34">
        <v>24090109</v>
      </c>
    </row>
    <row r="11" ht="16.5" spans="1:12">
      <c r="A11" s="54" t="s">
        <v>51</v>
      </c>
      <c r="B11" s="9">
        <v>177.8</v>
      </c>
      <c r="C11" s="10">
        <v>289.5</v>
      </c>
      <c r="D11" s="11">
        <v>4.89</v>
      </c>
      <c r="E11" s="12">
        <v>94.9</v>
      </c>
      <c r="F11" s="12">
        <v>98.8</v>
      </c>
      <c r="G11" s="36">
        <v>13.27</v>
      </c>
      <c r="H11" s="34">
        <v>24100146</v>
      </c>
    </row>
    <row r="12" ht="16.5" spans="1:12">
      <c r="A12" s="54" t="s">
        <v>52</v>
      </c>
      <c r="B12" s="9">
        <v>550.4</v>
      </c>
      <c r="C12" s="10">
        <v>243.5</v>
      </c>
      <c r="D12" s="11">
        <v>5.16</v>
      </c>
      <c r="E12" s="12">
        <v>93.1</v>
      </c>
      <c r="F12" s="12">
        <v>98.2</v>
      </c>
      <c r="G12" s="36">
        <v>13.64</v>
      </c>
      <c r="H12" s="34">
        <v>24100153</v>
      </c>
    </row>
    <row r="13" ht="16.5" spans="1:12">
      <c r="A13" s="54" t="s">
        <v>53</v>
      </c>
      <c r="B13" s="9">
        <v>312</v>
      </c>
      <c r="C13" s="10">
        <v>254.9</v>
      </c>
      <c r="D13" s="11">
        <v>5.49</v>
      </c>
      <c r="E13" s="12">
        <v>92.6</v>
      </c>
      <c r="F13" s="12">
        <v>97.6</v>
      </c>
      <c r="G13" s="36">
        <v>12.54</v>
      </c>
      <c r="H13" s="34">
        <v>24090154</v>
      </c>
    </row>
    <row r="14" ht="16.5" spans="1:12">
      <c r="A14" s="54" t="s">
        <v>54</v>
      </c>
      <c r="B14" s="9">
        <v>506.2</v>
      </c>
      <c r="C14" s="10">
        <v>265.2</v>
      </c>
      <c r="D14" s="11">
        <v>5.73</v>
      </c>
      <c r="E14" s="12">
        <v>94.4</v>
      </c>
      <c r="F14" s="12">
        <v>98.5</v>
      </c>
      <c r="G14" s="36">
        <v>12.62</v>
      </c>
      <c r="H14" s="34">
        <v>24090152</v>
      </c>
    </row>
    <row r="15" ht="16.5" spans="1:12">
      <c r="A15" s="108"/>
      <c r="B15" s="109"/>
      <c r="C15" s="111"/>
      <c r="D15" s="112"/>
      <c r="E15" s="113"/>
      <c r="F15" s="113"/>
      <c r="G15" s="109"/>
    </row>
  </sheetData>
  <conditionalFormatting sqref="A1:A2">
    <cfRule type="duplicateValues" dxfId="0" priority="1"/>
  </conditionalFormatting>
  <dataValidations count="1">
    <dataValidation allowBlank="1" showInputMessage="1" showErrorMessage="1" sqref="K1 B3:C15"/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G45" sqref="G45"/>
    </sheetView>
  </sheetViews>
  <sheetFormatPr defaultColWidth="9" defaultRowHeight="13.5" outlineLevelCol="7"/>
  <cols>
    <col min="1" max="1" width="15.625" customWidth="1"/>
    <col min="3" max="3" width="9.375"/>
    <col min="8" max="8" width="9.375"/>
  </cols>
  <sheetData>
    <row r="1" ht="16.5" spans="1:8">
      <c r="A1" s="116">
        <v>106</v>
      </c>
      <c r="B1" s="2">
        <f>SUM(B3:B17)</f>
        <v>5266.4</v>
      </c>
      <c r="C1" s="3" cm="1">
        <f t="array" ref="C1">SUMPRODUCT(C3:C17*B3:B17)/B1</f>
        <v>161.499886070181</v>
      </c>
      <c r="D1" s="4" cm="1">
        <f t="array" ref="D1">SUMPRODUCT(B3:B23*D3:D23)/B1</f>
        <v>3.9180776241835</v>
      </c>
      <c r="E1" s="3" cm="1">
        <f t="array" ref="E1">SUMPRODUCT(B3:B23*E3:E23)/B1</f>
        <v>77.6969542761659</v>
      </c>
      <c r="F1" s="3" cm="1">
        <f t="array" ref="F1">SUMPRODUCT(B3:B23*F3:F23)/B1</f>
        <v>92.5654944554155</v>
      </c>
      <c r="G1" s="3" cm="1">
        <f t="array" ref="G1">SUMPRODUCT(B3:B23*G3:G23)/B1</f>
        <v>11.8821016253988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55</v>
      </c>
      <c r="B3" s="9">
        <v>404.8</v>
      </c>
      <c r="C3" s="10">
        <v>250.9</v>
      </c>
      <c r="D3" s="11">
        <v>5.57</v>
      </c>
      <c r="E3" s="12">
        <v>88.1</v>
      </c>
      <c r="F3" s="12">
        <v>97</v>
      </c>
      <c r="G3" s="11">
        <v>12.15</v>
      </c>
      <c r="H3" s="34">
        <v>25010047</v>
      </c>
    </row>
    <row r="4" ht="16.5" spans="1:8">
      <c r="A4" s="39" t="s">
        <v>56</v>
      </c>
      <c r="B4" s="9">
        <v>531.4</v>
      </c>
      <c r="C4" s="10">
        <v>102.7</v>
      </c>
      <c r="D4" s="11">
        <v>2.57</v>
      </c>
      <c r="E4" s="12">
        <v>64.9</v>
      </c>
      <c r="F4" s="12">
        <v>86.6</v>
      </c>
      <c r="G4" s="11">
        <v>12.81</v>
      </c>
      <c r="H4" s="34">
        <v>25010009</v>
      </c>
    </row>
    <row r="5" ht="16.5" spans="1:8">
      <c r="A5" s="39" t="s">
        <v>57</v>
      </c>
      <c r="B5" s="9">
        <v>515.4</v>
      </c>
      <c r="C5" s="10">
        <v>246.6</v>
      </c>
      <c r="D5" s="11">
        <v>5.52</v>
      </c>
      <c r="E5" s="12">
        <v>84.2</v>
      </c>
      <c r="F5" s="12">
        <v>95.1</v>
      </c>
      <c r="G5" s="11">
        <v>11.66</v>
      </c>
      <c r="H5" s="34">
        <v>25010048</v>
      </c>
    </row>
    <row r="6" ht="16.5" spans="1:8">
      <c r="A6" s="39" t="s">
        <v>58</v>
      </c>
      <c r="B6" s="9">
        <v>437.8</v>
      </c>
      <c r="C6" s="10">
        <v>127.7</v>
      </c>
      <c r="D6" s="11">
        <v>3.31</v>
      </c>
      <c r="E6" s="12">
        <v>62.4</v>
      </c>
      <c r="F6" s="12">
        <v>85.7</v>
      </c>
      <c r="G6" s="11">
        <v>12.76</v>
      </c>
      <c r="H6" s="34">
        <v>24120525</v>
      </c>
    </row>
    <row r="7" ht="16.5" spans="1:8">
      <c r="A7" s="39" t="s">
        <v>59</v>
      </c>
      <c r="B7" s="9">
        <v>530.2</v>
      </c>
      <c r="C7" s="10">
        <v>242.5</v>
      </c>
      <c r="D7" s="11">
        <v>5.55</v>
      </c>
      <c r="E7" s="12">
        <v>82.4</v>
      </c>
      <c r="F7" s="12">
        <v>94.2</v>
      </c>
      <c r="G7" s="11">
        <v>11.64</v>
      </c>
      <c r="H7" s="34">
        <v>25010049</v>
      </c>
    </row>
    <row r="8" ht="16.5" spans="1:8">
      <c r="A8" s="39" t="s">
        <v>60</v>
      </c>
      <c r="B8" s="9">
        <v>339.8</v>
      </c>
      <c r="C8" s="10">
        <v>67</v>
      </c>
      <c r="D8" s="11">
        <v>2.11</v>
      </c>
      <c r="E8" s="12">
        <v>81.5</v>
      </c>
      <c r="F8" s="12">
        <v>96.3</v>
      </c>
      <c r="G8" s="11">
        <v>10.75</v>
      </c>
      <c r="H8" s="9">
        <v>24020056</v>
      </c>
    </row>
    <row r="9" ht="16.5" spans="1:8">
      <c r="A9" s="39" t="s">
        <v>61</v>
      </c>
      <c r="B9" s="9">
        <v>359.4</v>
      </c>
      <c r="C9" s="10">
        <v>69.9</v>
      </c>
      <c r="D9" s="11">
        <v>2.11</v>
      </c>
      <c r="E9" s="12">
        <v>80.7</v>
      </c>
      <c r="F9" s="12">
        <v>95.9</v>
      </c>
      <c r="G9" s="11">
        <v>10.17</v>
      </c>
      <c r="H9" s="9">
        <v>24020057</v>
      </c>
    </row>
    <row r="10" ht="16.5" spans="1:8">
      <c r="A10" s="39" t="s">
        <v>62</v>
      </c>
      <c r="B10" s="9">
        <v>521.8</v>
      </c>
      <c r="C10" s="10">
        <v>242.4</v>
      </c>
      <c r="D10" s="11">
        <v>5.52</v>
      </c>
      <c r="E10" s="12">
        <v>82.5</v>
      </c>
      <c r="F10" s="12">
        <v>94.3</v>
      </c>
      <c r="G10" s="11">
        <v>11.71</v>
      </c>
      <c r="H10" s="34">
        <v>25010050</v>
      </c>
    </row>
    <row r="11" ht="16.5" spans="1:8">
      <c r="A11" s="39" t="s">
        <v>63</v>
      </c>
      <c r="B11" s="9">
        <v>573.6</v>
      </c>
      <c r="C11" s="10">
        <v>74.6</v>
      </c>
      <c r="D11" s="11">
        <v>2.28</v>
      </c>
      <c r="E11" s="12">
        <v>73.6</v>
      </c>
      <c r="F11" s="12">
        <v>90.7</v>
      </c>
      <c r="G11" s="11">
        <v>11.99</v>
      </c>
      <c r="H11" s="9">
        <v>24020200</v>
      </c>
    </row>
    <row r="12" ht="16.5" spans="1:8">
      <c r="A12" s="39" t="s">
        <v>64</v>
      </c>
      <c r="B12" s="9">
        <v>558.8</v>
      </c>
      <c r="C12" s="10">
        <v>77.2</v>
      </c>
      <c r="D12" s="11">
        <v>2.24</v>
      </c>
      <c r="E12" s="12">
        <v>71.3</v>
      </c>
      <c r="F12" s="12">
        <v>88.8</v>
      </c>
      <c r="G12" s="11">
        <v>11.96</v>
      </c>
      <c r="H12" s="9">
        <v>24020203</v>
      </c>
    </row>
    <row r="13" ht="16.5" spans="1:8">
      <c r="A13" s="39" t="s">
        <v>65</v>
      </c>
      <c r="B13" s="9">
        <v>215.2</v>
      </c>
      <c r="C13" s="10">
        <v>250.2</v>
      </c>
      <c r="D13" s="11">
        <v>5.71</v>
      </c>
      <c r="E13" s="12">
        <v>87.3</v>
      </c>
      <c r="F13" s="12">
        <v>96.3</v>
      </c>
      <c r="G13" s="11">
        <v>12.36</v>
      </c>
      <c r="H13" s="9">
        <v>24120629</v>
      </c>
    </row>
    <row r="14" ht="16.5" spans="1:8">
      <c r="A14" s="39" t="s">
        <v>66</v>
      </c>
      <c r="B14" s="9">
        <v>278.2</v>
      </c>
      <c r="C14" s="10">
        <v>246.8</v>
      </c>
      <c r="D14" s="11">
        <v>5.87</v>
      </c>
      <c r="E14" s="12">
        <v>86.4</v>
      </c>
      <c r="F14" s="12">
        <v>96.9</v>
      </c>
      <c r="G14" s="11">
        <v>12.38</v>
      </c>
      <c r="H14" s="9">
        <v>24120630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4 B6 B8:B9 B11:B14 C3:C14"/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J1" sqref="J$1:R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107</v>
      </c>
      <c r="B1" s="2">
        <f>SUM(B3:B17)</f>
        <v>5168.2</v>
      </c>
      <c r="C1" s="3" cm="1">
        <f t="array" ref="C1">SUMPRODUCT(C3:C17*B3:B17)/B1</f>
        <v>159.410874192175</v>
      </c>
      <c r="D1" s="4" cm="1">
        <f t="array" ref="D1">SUMPRODUCT(B3:B23*D3:D23)/B1</f>
        <v>3.9022905460315</v>
      </c>
      <c r="E1" s="3" cm="1">
        <f t="array" ref="E1">SUMPRODUCT(B3:B23*E3:E23)/B1</f>
        <v>77.8007662242173</v>
      </c>
      <c r="F1" s="3" cm="1">
        <f t="array" ref="F1">SUMPRODUCT(B3:B23*F3:F23)/B1</f>
        <v>93.5384543941798</v>
      </c>
      <c r="G1" s="3" cm="1">
        <f t="array" ref="G1">SUMPRODUCT(B3:B23*G3:G23)/B1</f>
        <v>11.9421976703688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67</v>
      </c>
      <c r="B3" s="9">
        <v>506.8</v>
      </c>
      <c r="C3" s="10">
        <v>151.1</v>
      </c>
      <c r="D3" s="11">
        <v>4.03</v>
      </c>
      <c r="E3" s="12">
        <v>77.9</v>
      </c>
      <c r="F3" s="12">
        <v>94.2</v>
      </c>
      <c r="G3" s="11">
        <v>11.48</v>
      </c>
      <c r="H3" s="34">
        <v>25010056</v>
      </c>
    </row>
    <row r="4" ht="16.5" spans="1:8">
      <c r="A4" s="39" t="s">
        <v>68</v>
      </c>
      <c r="B4" s="9">
        <v>517.8</v>
      </c>
      <c r="C4" s="10">
        <v>148.2</v>
      </c>
      <c r="D4" s="11">
        <v>3.89</v>
      </c>
      <c r="E4" s="12">
        <v>77.9</v>
      </c>
      <c r="F4" s="12">
        <v>94.1</v>
      </c>
      <c r="G4" s="11">
        <v>11.54</v>
      </c>
      <c r="H4" s="34">
        <v>25010057</v>
      </c>
    </row>
    <row r="5" ht="16.5" spans="1:8">
      <c r="A5" s="39" t="s">
        <v>69</v>
      </c>
      <c r="B5" s="9">
        <v>526</v>
      </c>
      <c r="C5" s="10">
        <v>141.9</v>
      </c>
      <c r="D5" s="11">
        <v>3.7</v>
      </c>
      <c r="E5" s="12">
        <v>76.9</v>
      </c>
      <c r="F5" s="12">
        <v>93.7</v>
      </c>
      <c r="G5" s="11">
        <v>11.63</v>
      </c>
      <c r="H5" s="34">
        <v>25010058</v>
      </c>
    </row>
    <row r="6" ht="16.5" spans="1:8">
      <c r="A6" s="39" t="s">
        <v>70</v>
      </c>
      <c r="B6" s="9">
        <v>514</v>
      </c>
      <c r="C6" s="10">
        <v>112</v>
      </c>
      <c r="D6" s="11">
        <v>2.96</v>
      </c>
      <c r="E6" s="12">
        <v>72.6</v>
      </c>
      <c r="F6" s="12">
        <v>91.9</v>
      </c>
      <c r="G6" s="11">
        <v>12.27</v>
      </c>
      <c r="H6" s="34">
        <v>25010059</v>
      </c>
    </row>
    <row r="7" ht="16.5" spans="1:8">
      <c r="A7" s="39" t="s">
        <v>71</v>
      </c>
      <c r="B7" s="9">
        <v>505</v>
      </c>
      <c r="C7" s="10">
        <v>106.8</v>
      </c>
      <c r="D7" s="11">
        <v>2.83</v>
      </c>
      <c r="E7" s="12">
        <v>71.2</v>
      </c>
      <c r="F7" s="12">
        <v>91.5</v>
      </c>
      <c r="G7" s="11">
        <v>12.46</v>
      </c>
      <c r="H7" s="34">
        <v>25010060</v>
      </c>
    </row>
    <row r="8" ht="16.5" spans="1:8">
      <c r="A8" s="39" t="s">
        <v>72</v>
      </c>
      <c r="B8" s="9">
        <v>515.2</v>
      </c>
      <c r="C8" s="10">
        <v>234.6</v>
      </c>
      <c r="D8" s="11">
        <v>5.57</v>
      </c>
      <c r="E8" s="12">
        <v>79.7</v>
      </c>
      <c r="F8" s="12">
        <v>93.3</v>
      </c>
      <c r="G8" s="11">
        <v>11.77</v>
      </c>
      <c r="H8" s="34">
        <v>25010051</v>
      </c>
    </row>
    <row r="9" ht="16.5" spans="1:8">
      <c r="A9" s="39" t="s">
        <v>73</v>
      </c>
      <c r="B9" s="9">
        <v>552.6</v>
      </c>
      <c r="C9" s="10">
        <v>69.1</v>
      </c>
      <c r="D9" s="11">
        <v>2.24</v>
      </c>
      <c r="E9" s="12">
        <v>67.7</v>
      </c>
      <c r="F9" s="12">
        <v>87.4</v>
      </c>
      <c r="G9" s="11">
        <v>11.81</v>
      </c>
      <c r="H9" s="34">
        <v>23120403</v>
      </c>
    </row>
    <row r="10" ht="16.5" spans="1:8">
      <c r="A10" s="39" t="s">
        <v>74</v>
      </c>
      <c r="B10" s="9">
        <v>515.8</v>
      </c>
      <c r="C10" s="10">
        <v>265</v>
      </c>
      <c r="D10" s="11">
        <v>5.6</v>
      </c>
      <c r="E10" s="12">
        <v>88.1</v>
      </c>
      <c r="F10" s="12">
        <v>97.6</v>
      </c>
      <c r="G10" s="11">
        <v>12.41</v>
      </c>
      <c r="H10" s="34">
        <v>25010018</v>
      </c>
    </row>
    <row r="11" ht="16.5" spans="1:8">
      <c r="A11" s="39" t="s">
        <v>75</v>
      </c>
      <c r="B11" s="9">
        <v>501.8</v>
      </c>
      <c r="C11" s="10">
        <v>259.3</v>
      </c>
      <c r="D11" s="11">
        <v>5.41</v>
      </c>
      <c r="E11" s="12">
        <v>89.1</v>
      </c>
      <c r="F11" s="12">
        <v>97.8</v>
      </c>
      <c r="G11" s="11">
        <v>10.87</v>
      </c>
      <c r="H11" s="34">
        <v>25010072</v>
      </c>
    </row>
    <row r="12" ht="16.5" spans="1:8">
      <c r="A12" s="39" t="s">
        <v>76</v>
      </c>
      <c r="B12" s="9">
        <v>513.2</v>
      </c>
      <c r="C12" s="10">
        <v>114.1</v>
      </c>
      <c r="D12" s="11">
        <v>2.93</v>
      </c>
      <c r="E12" s="12">
        <v>77.8</v>
      </c>
      <c r="F12" s="12">
        <v>94.4</v>
      </c>
      <c r="G12" s="11">
        <v>13.18</v>
      </c>
      <c r="H12" s="34">
        <v>25010034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B7 B9:B11 C3:C12"/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K15" sqref="K15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108</v>
      </c>
      <c r="B1" s="2">
        <f>SUM(B3:B17)</f>
        <v>5043.4</v>
      </c>
      <c r="C1" s="3" cm="1">
        <f t="array" ref="C1">SUMPRODUCT(C3:C17*B3:B17)/B1</f>
        <v>162.917769758496</v>
      </c>
      <c r="D1" s="4" cm="1">
        <f t="array" ref="D1">SUMPRODUCT(B3:B23*D3:D23)/B1</f>
        <v>3.89928698893603</v>
      </c>
      <c r="E1" s="3" cm="1">
        <f t="array" ref="E1">SUMPRODUCT(B3:B23*E3:E23)/B1</f>
        <v>77.0182218344767</v>
      </c>
      <c r="F1" s="3" cm="1">
        <f t="array" ref="F1">SUMPRODUCT(B3:B23*F3:F23)/B1</f>
        <v>92.9346512273466</v>
      </c>
      <c r="G1" s="3" cm="1">
        <f t="array" ref="G1">SUMPRODUCT(B3:B23*G3:G23)/B1</f>
        <v>11.8831339969068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77</v>
      </c>
      <c r="B3" s="9">
        <v>353</v>
      </c>
      <c r="C3" s="10">
        <v>96</v>
      </c>
      <c r="D3" s="11">
        <v>2.38</v>
      </c>
      <c r="E3" s="12">
        <v>68.2</v>
      </c>
      <c r="F3" s="12">
        <v>89.2</v>
      </c>
      <c r="G3" s="11">
        <v>12.04</v>
      </c>
      <c r="H3" s="34">
        <v>25010088</v>
      </c>
    </row>
    <row r="4" ht="16.5" spans="1:8">
      <c r="A4" s="39" t="s">
        <v>78</v>
      </c>
      <c r="B4" s="9">
        <v>506.8</v>
      </c>
      <c r="C4" s="10">
        <v>115.9</v>
      </c>
      <c r="D4" s="11">
        <v>2.99</v>
      </c>
      <c r="E4" s="12">
        <v>70.2</v>
      </c>
      <c r="F4" s="12">
        <v>90</v>
      </c>
      <c r="G4" s="11">
        <v>12.84</v>
      </c>
      <c r="H4" s="34">
        <v>25010004</v>
      </c>
    </row>
    <row r="5" ht="16.5" spans="1:8">
      <c r="A5" s="39" t="s">
        <v>79</v>
      </c>
      <c r="B5" s="9">
        <v>537.8</v>
      </c>
      <c r="C5" s="10">
        <v>112</v>
      </c>
      <c r="D5" s="11">
        <v>2.99</v>
      </c>
      <c r="E5" s="12">
        <v>70.6</v>
      </c>
      <c r="F5" s="12">
        <v>90.5</v>
      </c>
      <c r="G5" s="11">
        <v>12.89</v>
      </c>
      <c r="H5" s="34">
        <v>25010005</v>
      </c>
    </row>
    <row r="6" ht="16.5" spans="1:8">
      <c r="A6" s="39" t="s">
        <v>80</v>
      </c>
      <c r="B6" s="9">
        <v>529.4</v>
      </c>
      <c r="C6" s="10">
        <v>114</v>
      </c>
      <c r="D6" s="11">
        <v>2.93</v>
      </c>
      <c r="E6" s="12">
        <v>69.4</v>
      </c>
      <c r="F6" s="12">
        <v>89.7</v>
      </c>
      <c r="G6" s="11">
        <v>12.88</v>
      </c>
      <c r="H6" s="34">
        <v>25010006</v>
      </c>
    </row>
    <row r="7" ht="16.5" spans="1:8">
      <c r="A7" s="39" t="s">
        <v>81</v>
      </c>
      <c r="B7" s="9">
        <v>319.8</v>
      </c>
      <c r="C7" s="10">
        <v>112.3</v>
      </c>
      <c r="D7" s="11">
        <v>2.87</v>
      </c>
      <c r="E7" s="12">
        <v>68.8</v>
      </c>
      <c r="F7" s="12">
        <v>89.4</v>
      </c>
      <c r="G7" s="11">
        <v>12.9</v>
      </c>
      <c r="H7" s="34">
        <v>25010007</v>
      </c>
    </row>
    <row r="8" ht="16.5" spans="1:8">
      <c r="A8" s="39" t="s">
        <v>82</v>
      </c>
      <c r="B8" s="9">
        <v>524.2</v>
      </c>
      <c r="C8" s="10">
        <v>158</v>
      </c>
      <c r="D8" s="11">
        <v>3.99</v>
      </c>
      <c r="E8" s="12">
        <v>80.4</v>
      </c>
      <c r="F8" s="12">
        <v>94.6</v>
      </c>
      <c r="G8" s="11">
        <v>11.15</v>
      </c>
      <c r="H8" s="34">
        <v>25010108</v>
      </c>
    </row>
    <row r="9" ht="16.5" spans="1:8">
      <c r="A9" s="39" t="s">
        <v>83</v>
      </c>
      <c r="B9" s="9">
        <v>511.8</v>
      </c>
      <c r="C9" s="10">
        <v>158.4</v>
      </c>
      <c r="D9" s="11">
        <v>4.03</v>
      </c>
      <c r="E9" s="12">
        <v>79.8</v>
      </c>
      <c r="F9" s="12">
        <v>94.1</v>
      </c>
      <c r="G9" s="11">
        <v>11.04</v>
      </c>
      <c r="H9" s="34">
        <v>25010109</v>
      </c>
    </row>
    <row r="10" ht="16.5" spans="1:8">
      <c r="A10" s="39" t="s">
        <v>84</v>
      </c>
      <c r="B10" s="9">
        <v>423.8</v>
      </c>
      <c r="C10" s="10">
        <v>155.7</v>
      </c>
      <c r="D10" s="11">
        <v>3.97</v>
      </c>
      <c r="E10" s="12">
        <v>80</v>
      </c>
      <c r="F10" s="12">
        <v>94.4</v>
      </c>
      <c r="G10" s="11">
        <v>11.13</v>
      </c>
      <c r="H10" s="34">
        <v>25010110</v>
      </c>
    </row>
    <row r="11" ht="16.5" spans="1:8">
      <c r="A11" s="39" t="s">
        <v>85</v>
      </c>
      <c r="B11" s="9">
        <v>318.4</v>
      </c>
      <c r="C11" s="10">
        <v>262.3</v>
      </c>
      <c r="D11" s="11">
        <v>5.84</v>
      </c>
      <c r="E11" s="12">
        <v>85.6</v>
      </c>
      <c r="F11" s="12">
        <v>96.7</v>
      </c>
      <c r="G11" s="11">
        <v>12.17</v>
      </c>
      <c r="H11" s="34">
        <v>25010021</v>
      </c>
    </row>
    <row r="12" ht="16.5" spans="1:8">
      <c r="A12" s="39" t="s">
        <v>86</v>
      </c>
      <c r="B12" s="9">
        <v>522.6</v>
      </c>
      <c r="C12" s="10">
        <v>260.3</v>
      </c>
      <c r="D12" s="11">
        <v>5.33</v>
      </c>
      <c r="E12" s="12">
        <v>89.5</v>
      </c>
      <c r="F12" s="12">
        <v>97.9</v>
      </c>
      <c r="G12" s="11">
        <v>10.94</v>
      </c>
      <c r="H12" s="34">
        <v>25010070</v>
      </c>
    </row>
    <row r="13" ht="16.5" spans="1:8">
      <c r="A13" s="39" t="s">
        <v>87</v>
      </c>
      <c r="B13" s="9">
        <v>495.8</v>
      </c>
      <c r="C13" s="10">
        <v>248.3</v>
      </c>
      <c r="D13" s="11">
        <v>5.55</v>
      </c>
      <c r="E13" s="12">
        <v>83</v>
      </c>
      <c r="F13" s="12">
        <v>95.1</v>
      </c>
      <c r="G13" s="11">
        <v>11.08</v>
      </c>
      <c r="H13" s="34">
        <v>25010074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13"/>
  </dataValidation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24" sqref="I24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109</v>
      </c>
      <c r="B1" s="2">
        <f>SUM(B3:B17)</f>
        <v>5088.4</v>
      </c>
      <c r="C1" s="3" cm="1">
        <f t="array" ref="C1">SUMPRODUCT(C3:C17*B3:B17)/B1</f>
        <v>162.064432827608</v>
      </c>
      <c r="D1" s="4" cm="1">
        <f t="array" ref="D1">SUMPRODUCT(B3:B23*D3:D23)/B1</f>
        <v>3.90190079396274</v>
      </c>
      <c r="E1" s="3" cm="1">
        <f t="array" ref="E1">SUMPRODUCT(B3:B23*E3:E23)/B1</f>
        <v>76.1262204229227</v>
      </c>
      <c r="F1" s="3" cm="1">
        <f t="array" ref="F1">SUMPRODUCT(B3:B23*F3:F23)/B1</f>
        <v>92.3192752142128</v>
      </c>
      <c r="G1" s="3" cm="1">
        <f t="array" ref="G1">SUMPRODUCT(B3:B23*G3:G23)/B1</f>
        <v>11.9149355396588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88</v>
      </c>
      <c r="B3" s="9">
        <v>497.2</v>
      </c>
      <c r="C3" s="10">
        <v>114.1</v>
      </c>
      <c r="D3" s="11">
        <v>2.87</v>
      </c>
      <c r="E3" s="12">
        <v>74.9</v>
      </c>
      <c r="F3" s="12">
        <v>91.6</v>
      </c>
      <c r="G3" s="11">
        <v>12.03</v>
      </c>
      <c r="H3" s="34">
        <v>25010111</v>
      </c>
    </row>
    <row r="4" ht="16.5" spans="1:8">
      <c r="A4" s="39" t="s">
        <v>89</v>
      </c>
      <c r="B4" s="9">
        <v>523.6</v>
      </c>
      <c r="C4" s="10">
        <v>112.7</v>
      </c>
      <c r="D4" s="11">
        <v>2.87</v>
      </c>
      <c r="E4" s="12">
        <v>73.1</v>
      </c>
      <c r="F4" s="12">
        <v>90.7</v>
      </c>
      <c r="G4" s="11">
        <v>12.02</v>
      </c>
      <c r="H4" s="34">
        <v>25010112</v>
      </c>
    </row>
    <row r="5" ht="16.5" spans="1:8">
      <c r="A5" s="39" t="s">
        <v>90</v>
      </c>
      <c r="B5" s="9">
        <v>478.4</v>
      </c>
      <c r="C5" s="10">
        <v>111</v>
      </c>
      <c r="D5" s="11">
        <v>2.77</v>
      </c>
      <c r="E5" s="12">
        <v>73</v>
      </c>
      <c r="F5" s="12">
        <v>90.5</v>
      </c>
      <c r="G5" s="11">
        <v>12.18</v>
      </c>
      <c r="H5" s="34">
        <v>25010113</v>
      </c>
    </row>
    <row r="6" ht="16.5" spans="1:8">
      <c r="A6" s="39" t="s">
        <v>91</v>
      </c>
      <c r="B6" s="9">
        <v>341.4</v>
      </c>
      <c r="C6" s="10">
        <v>109.7</v>
      </c>
      <c r="D6" s="11">
        <v>2.7</v>
      </c>
      <c r="E6" s="12">
        <v>72.2</v>
      </c>
      <c r="F6" s="12">
        <v>90</v>
      </c>
      <c r="G6" s="11">
        <v>12.17</v>
      </c>
      <c r="H6" s="34">
        <v>25010114</v>
      </c>
    </row>
    <row r="7" ht="16.5" spans="1:8">
      <c r="A7" s="39" t="s">
        <v>92</v>
      </c>
      <c r="B7" s="9">
        <v>489</v>
      </c>
      <c r="C7" s="10">
        <v>190.3</v>
      </c>
      <c r="D7" s="11">
        <v>5.13</v>
      </c>
      <c r="E7" s="12">
        <v>73.8</v>
      </c>
      <c r="F7" s="12">
        <v>91.2</v>
      </c>
      <c r="G7" s="11">
        <v>11.62</v>
      </c>
      <c r="H7" s="34">
        <v>25010053</v>
      </c>
    </row>
    <row r="8" ht="16.5" spans="1:8">
      <c r="A8" s="39" t="s">
        <v>93</v>
      </c>
      <c r="B8" s="9">
        <v>508.2</v>
      </c>
      <c r="C8" s="10">
        <v>204.4</v>
      </c>
      <c r="D8" s="11">
        <v>5.68</v>
      </c>
      <c r="E8" s="12">
        <v>77.1</v>
      </c>
      <c r="F8" s="12">
        <v>92.6</v>
      </c>
      <c r="G8" s="11">
        <v>11.94</v>
      </c>
      <c r="H8" s="34">
        <v>25010107</v>
      </c>
    </row>
    <row r="9" ht="16.5" spans="1:8">
      <c r="A9" s="39" t="s">
        <v>94</v>
      </c>
      <c r="B9" s="9">
        <v>503.6</v>
      </c>
      <c r="C9" s="10">
        <v>258.3</v>
      </c>
      <c r="D9" s="11">
        <v>5.35</v>
      </c>
      <c r="E9" s="12">
        <v>87.4</v>
      </c>
      <c r="F9" s="12">
        <v>97</v>
      </c>
      <c r="G9" s="11">
        <v>10.68</v>
      </c>
      <c r="H9" s="34">
        <v>25010073</v>
      </c>
    </row>
    <row r="10" ht="16.5" spans="1:8">
      <c r="A10" s="39" t="s">
        <v>95</v>
      </c>
      <c r="B10" s="9">
        <v>507.6</v>
      </c>
      <c r="C10" s="10">
        <v>117.1</v>
      </c>
      <c r="D10" s="11">
        <v>3.06</v>
      </c>
      <c r="E10" s="12">
        <v>77.8</v>
      </c>
      <c r="F10" s="12">
        <v>94.2</v>
      </c>
      <c r="G10" s="11">
        <v>13.22</v>
      </c>
      <c r="H10" s="34">
        <v>25010031</v>
      </c>
    </row>
    <row r="11" ht="16.5" spans="1:8">
      <c r="A11" s="39" t="s">
        <v>96</v>
      </c>
      <c r="B11" s="9">
        <v>510.8</v>
      </c>
      <c r="C11" s="10">
        <v>117.3</v>
      </c>
      <c r="D11" s="11">
        <v>2.93</v>
      </c>
      <c r="E11" s="12">
        <v>73.2</v>
      </c>
      <c r="F11" s="12">
        <v>92.6</v>
      </c>
      <c r="G11" s="11">
        <v>12.95</v>
      </c>
      <c r="H11" s="34">
        <v>24120550</v>
      </c>
    </row>
    <row r="12" ht="16.5" spans="1:8">
      <c r="A12" s="39" t="s">
        <v>97</v>
      </c>
      <c r="B12" s="9">
        <v>243.4</v>
      </c>
      <c r="C12" s="10">
        <v>249.9</v>
      </c>
      <c r="D12" s="11">
        <v>4.75</v>
      </c>
      <c r="E12" s="12">
        <v>81.8</v>
      </c>
      <c r="F12" s="12">
        <v>93.4</v>
      </c>
      <c r="G12" s="11">
        <v>10.74</v>
      </c>
      <c r="H12" s="34">
        <v>24120385</v>
      </c>
    </row>
    <row r="13" ht="16.5" spans="1:8">
      <c r="A13" s="39" t="s">
        <v>98</v>
      </c>
      <c r="B13" s="9">
        <v>485.2</v>
      </c>
      <c r="C13" s="10">
        <v>229.1</v>
      </c>
      <c r="D13" s="11">
        <v>4.91</v>
      </c>
      <c r="E13" s="12">
        <v>74.6</v>
      </c>
      <c r="F13" s="12">
        <v>91.4</v>
      </c>
      <c r="G13" s="11">
        <v>10.93</v>
      </c>
      <c r="H13" s="34">
        <v>24120310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C10 B3:C9 B11:C13"/>
  </dataValidation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E26" sqref="E26"/>
    </sheetView>
  </sheetViews>
  <sheetFormatPr defaultColWidth="9" defaultRowHeight="13.5"/>
  <cols>
    <col min="1" max="1" width="15.625" customWidth="1"/>
    <col min="7" max="8" width="9.375"/>
    <col min="10" max="10" width="15.625" customWidth="1"/>
    <col min="16" max="16" width="9.375"/>
  </cols>
  <sheetData>
    <row r="1" ht="16.5" spans="1:16">
      <c r="A1" s="116">
        <v>110</v>
      </c>
      <c r="B1" s="2">
        <f>SUM(B3:B17)</f>
        <v>5073</v>
      </c>
      <c r="C1" s="3" cm="1">
        <f t="array" ref="C1">SUMPRODUCT(C3:C17*B3:B17)/B1</f>
        <v>217.162140745121</v>
      </c>
      <c r="D1" s="4" cm="1">
        <f t="array" ref="D1">SUMPRODUCT(B3:B23*D3:D23)/B1</f>
        <v>4.95932071752415</v>
      </c>
      <c r="E1" s="3" cm="1">
        <f t="array" ref="E1">SUMPRODUCT(B3:B23*E3:E23)/B1</f>
        <v>78.5985610092647</v>
      </c>
      <c r="F1" s="3" cm="1">
        <f t="array" ref="F1">SUMPRODUCT(B3:B23*F3:F23)/B1</f>
        <v>93.3233707865168</v>
      </c>
      <c r="G1" s="3" cm="1">
        <f t="array" ref="G1">SUMPRODUCT(B3:B23*G3:G23)/B1</f>
        <v>13.1397564360339</v>
      </c>
      <c r="J1" s="116">
        <v>111</v>
      </c>
      <c r="K1" s="2">
        <f>SUM(K3:K17)</f>
        <v>5056.8</v>
      </c>
      <c r="L1" s="3" cm="1">
        <f t="array" ref="L1">SUMPRODUCT(L3:L17*K3:K17)/K1</f>
        <v>218.214269894004</v>
      </c>
      <c r="M1" s="4" cm="1">
        <f t="array" ref="M1">SUMPRODUCT(K3:K23*M3:M23)/K1</f>
        <v>4.9618517639614</v>
      </c>
      <c r="N1" s="3" cm="1">
        <f t="array" ref="N1">SUMPRODUCT(K3:K23*N3:N23)/K1</f>
        <v>79.4563320677108</v>
      </c>
      <c r="O1" s="3" cm="1">
        <f t="array" ref="O1">SUMPRODUCT(K3:K23*O3:O23)/K1</f>
        <v>93.387391235564</v>
      </c>
    </row>
    <row r="2" ht="16.5" spans="1:16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J2" s="6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39" t="s">
        <v>99</v>
      </c>
      <c r="B3" s="9">
        <v>526</v>
      </c>
      <c r="C3" s="10">
        <v>211.4</v>
      </c>
      <c r="D3" s="11">
        <v>5.24</v>
      </c>
      <c r="E3" s="12">
        <v>71.2</v>
      </c>
      <c r="F3" s="12">
        <v>90.7</v>
      </c>
      <c r="G3" s="36">
        <v>12.63</v>
      </c>
      <c r="H3" s="34">
        <v>24120468</v>
      </c>
      <c r="J3" s="39" t="s">
        <v>100</v>
      </c>
      <c r="K3" s="9">
        <v>399</v>
      </c>
      <c r="L3" s="10">
        <v>216.4</v>
      </c>
      <c r="M3" s="11">
        <v>5.05</v>
      </c>
      <c r="N3" s="12">
        <v>87.2</v>
      </c>
      <c r="O3" s="12">
        <v>96.9</v>
      </c>
      <c r="P3" s="34">
        <v>24120569</v>
      </c>
    </row>
    <row r="4" ht="16.5" spans="1:16">
      <c r="A4" s="39" t="s">
        <v>101</v>
      </c>
      <c r="B4" s="9">
        <v>497.6</v>
      </c>
      <c r="C4" s="10">
        <v>204.3</v>
      </c>
      <c r="D4" s="11">
        <v>5.16</v>
      </c>
      <c r="E4" s="12">
        <v>70.5</v>
      </c>
      <c r="F4" s="12">
        <v>90.2</v>
      </c>
      <c r="G4" s="36">
        <v>12.85</v>
      </c>
      <c r="H4" s="34">
        <v>24120469</v>
      </c>
      <c r="J4" s="39" t="s">
        <v>102</v>
      </c>
      <c r="K4" s="9">
        <v>244</v>
      </c>
      <c r="L4" s="10">
        <v>220.9</v>
      </c>
      <c r="M4" s="11">
        <v>5.11</v>
      </c>
      <c r="N4" s="12">
        <v>87.1</v>
      </c>
      <c r="O4" s="12">
        <v>96.8</v>
      </c>
      <c r="P4" s="34">
        <v>24120570</v>
      </c>
    </row>
    <row r="5" ht="16.5" spans="1:16">
      <c r="A5" s="39" t="s">
        <v>103</v>
      </c>
      <c r="B5" s="9">
        <v>463.6</v>
      </c>
      <c r="C5" s="10">
        <v>205.2</v>
      </c>
      <c r="D5" s="11">
        <v>5.19</v>
      </c>
      <c r="E5" s="12">
        <v>69.4</v>
      </c>
      <c r="F5" s="12">
        <v>89.4</v>
      </c>
      <c r="G5" s="36">
        <v>12.89</v>
      </c>
      <c r="H5" s="34">
        <v>24120470</v>
      </c>
      <c r="J5" s="39" t="s">
        <v>104</v>
      </c>
      <c r="K5" s="9">
        <v>491.4</v>
      </c>
      <c r="L5" s="10">
        <v>214</v>
      </c>
      <c r="M5" s="11">
        <v>5.13</v>
      </c>
      <c r="N5" s="12">
        <v>83.2</v>
      </c>
      <c r="O5" s="12">
        <v>95.2</v>
      </c>
      <c r="P5" s="34">
        <v>24120604</v>
      </c>
    </row>
    <row r="6" ht="16.5" spans="1:16">
      <c r="A6" s="39" t="s">
        <v>105</v>
      </c>
      <c r="B6" s="9">
        <v>393.4</v>
      </c>
      <c r="C6" s="10">
        <v>202.9</v>
      </c>
      <c r="D6" s="11">
        <v>5.13</v>
      </c>
      <c r="E6" s="12">
        <v>69</v>
      </c>
      <c r="F6" s="12">
        <v>89.1</v>
      </c>
      <c r="G6" s="36">
        <v>12.85</v>
      </c>
      <c r="H6" s="34">
        <v>24120471</v>
      </c>
      <c r="J6" s="39" t="s">
        <v>106</v>
      </c>
      <c r="K6" s="9">
        <v>485.8</v>
      </c>
      <c r="L6" s="10">
        <v>209.3</v>
      </c>
      <c r="M6" s="11">
        <v>5.41</v>
      </c>
      <c r="N6" s="12">
        <v>80.4</v>
      </c>
      <c r="O6" s="12">
        <v>94.2</v>
      </c>
      <c r="P6" s="34">
        <v>24120605</v>
      </c>
    </row>
    <row r="7" ht="16.5" spans="1:16">
      <c r="A7" s="39" t="s">
        <v>107</v>
      </c>
      <c r="B7" s="9">
        <v>500.2</v>
      </c>
      <c r="C7" s="10">
        <v>225.2</v>
      </c>
      <c r="D7" s="11">
        <v>5</v>
      </c>
      <c r="E7" s="12">
        <v>89.4</v>
      </c>
      <c r="F7" s="12">
        <v>97.7</v>
      </c>
      <c r="G7" s="36">
        <v>12.73</v>
      </c>
      <c r="H7" s="34">
        <v>24120566</v>
      </c>
      <c r="J7" s="39" t="s">
        <v>108</v>
      </c>
      <c r="K7" s="9">
        <v>493.2</v>
      </c>
      <c r="L7" s="10">
        <v>229.5</v>
      </c>
      <c r="M7" s="11">
        <v>5.05</v>
      </c>
      <c r="N7" s="12">
        <v>89.3</v>
      </c>
      <c r="O7" s="12">
        <v>97.7</v>
      </c>
      <c r="P7" s="34">
        <v>24120565</v>
      </c>
    </row>
    <row r="8" ht="16.5" spans="1:16">
      <c r="A8" s="39" t="s">
        <v>109</v>
      </c>
      <c r="B8" s="9">
        <v>486</v>
      </c>
      <c r="C8" s="10">
        <v>218.5</v>
      </c>
      <c r="D8" s="11">
        <v>5.05</v>
      </c>
      <c r="E8" s="12">
        <v>87.4</v>
      </c>
      <c r="F8" s="12">
        <v>96.9</v>
      </c>
      <c r="G8" s="36">
        <v>14.21</v>
      </c>
      <c r="H8" s="34">
        <v>24120567</v>
      </c>
      <c r="J8" s="39" t="s">
        <v>110</v>
      </c>
      <c r="K8" s="9">
        <v>492.6</v>
      </c>
      <c r="L8" s="10">
        <v>154.3</v>
      </c>
      <c r="M8" s="11">
        <v>4.2</v>
      </c>
      <c r="N8" s="12">
        <v>63.3</v>
      </c>
      <c r="O8" s="12">
        <v>86.7</v>
      </c>
      <c r="P8" s="34">
        <v>24120472</v>
      </c>
    </row>
    <row r="9" ht="16.5" spans="1:16">
      <c r="A9" s="39" t="s">
        <v>111</v>
      </c>
      <c r="B9" s="9">
        <v>519.2</v>
      </c>
      <c r="C9" s="10">
        <v>162.5</v>
      </c>
      <c r="D9" s="11">
        <v>4.41</v>
      </c>
      <c r="E9" s="12">
        <v>65</v>
      </c>
      <c r="F9" s="12">
        <v>87.2</v>
      </c>
      <c r="G9" s="36">
        <v>13.912</v>
      </c>
      <c r="H9" s="34">
        <v>25010002</v>
      </c>
      <c r="J9" s="39" t="s">
        <v>112</v>
      </c>
      <c r="K9" s="9">
        <v>525.4</v>
      </c>
      <c r="L9" s="10">
        <v>222.7</v>
      </c>
      <c r="M9" s="11">
        <v>5.35</v>
      </c>
      <c r="N9" s="12">
        <v>79.2</v>
      </c>
      <c r="O9" s="12">
        <v>93.6</v>
      </c>
      <c r="P9" s="34">
        <v>25010165</v>
      </c>
    </row>
    <row r="10" ht="16.5" spans="1:16">
      <c r="A10" s="39" t="s">
        <v>113</v>
      </c>
      <c r="B10" s="9">
        <v>518</v>
      </c>
      <c r="C10" s="10">
        <v>284</v>
      </c>
      <c r="D10" s="11">
        <v>4.55</v>
      </c>
      <c r="E10" s="12">
        <v>86</v>
      </c>
      <c r="F10" s="12">
        <v>96.4</v>
      </c>
      <c r="G10" s="36">
        <v>14.18</v>
      </c>
      <c r="H10" s="34">
        <v>24110164</v>
      </c>
      <c r="J10" s="39" t="s">
        <v>114</v>
      </c>
      <c r="K10" s="9">
        <v>244.4</v>
      </c>
      <c r="L10" s="10">
        <v>214.7</v>
      </c>
      <c r="M10" s="11">
        <v>5.11</v>
      </c>
      <c r="N10" s="12">
        <v>79</v>
      </c>
      <c r="O10" s="12">
        <v>93.6</v>
      </c>
      <c r="P10" s="34">
        <v>25010166</v>
      </c>
    </row>
    <row r="11" ht="16.5" spans="1:16">
      <c r="A11" s="39" t="s">
        <v>115</v>
      </c>
      <c r="B11" s="9">
        <v>504.6</v>
      </c>
      <c r="C11" s="10">
        <v>219.1</v>
      </c>
      <c r="D11" s="11">
        <v>4.97</v>
      </c>
      <c r="E11" s="12">
        <v>84.7</v>
      </c>
      <c r="F11" s="12">
        <v>96.1</v>
      </c>
      <c r="G11" s="36">
        <v>12.62</v>
      </c>
      <c r="H11" s="34">
        <v>24120601</v>
      </c>
      <c r="J11" s="39" t="s">
        <v>116</v>
      </c>
      <c r="K11" s="9">
        <v>231</v>
      </c>
      <c r="L11" s="10">
        <v>229.4</v>
      </c>
      <c r="M11" s="11">
        <v>4.17</v>
      </c>
      <c r="N11" s="12">
        <v>81</v>
      </c>
      <c r="O11" s="12">
        <v>93.9</v>
      </c>
      <c r="P11" s="34">
        <v>25010115</v>
      </c>
    </row>
    <row r="12" ht="16.5" spans="1:16">
      <c r="A12" s="39" t="s">
        <v>117</v>
      </c>
      <c r="B12" s="9">
        <v>190.6</v>
      </c>
      <c r="C12" s="10">
        <v>262.7</v>
      </c>
      <c r="D12" s="11">
        <v>4.69</v>
      </c>
      <c r="E12" s="12">
        <v>90.7</v>
      </c>
      <c r="F12" s="12">
        <v>98.2</v>
      </c>
      <c r="G12" s="36">
        <v>12.99</v>
      </c>
      <c r="H12" s="34">
        <v>25010147</v>
      </c>
      <c r="J12" s="39" t="s">
        <v>118</v>
      </c>
      <c r="K12" s="9">
        <v>485</v>
      </c>
      <c r="L12" s="10">
        <v>181.2</v>
      </c>
      <c r="M12" s="11">
        <v>4.86</v>
      </c>
      <c r="N12" s="12">
        <v>60.4</v>
      </c>
      <c r="O12" s="12">
        <v>84.7</v>
      </c>
      <c r="P12" s="34">
        <v>25010081</v>
      </c>
    </row>
    <row r="13" ht="16.5" spans="1:16">
      <c r="A13" s="39" t="s">
        <v>119</v>
      </c>
      <c r="B13" s="9">
        <v>473.8</v>
      </c>
      <c r="C13" s="10">
        <v>217.2</v>
      </c>
      <c r="D13" s="11">
        <v>5.08</v>
      </c>
      <c r="E13" s="12">
        <v>87.3</v>
      </c>
      <c r="F13" s="12">
        <v>97</v>
      </c>
      <c r="G13" s="36">
        <v>12.46</v>
      </c>
      <c r="H13" s="34">
        <v>24120568</v>
      </c>
      <c r="J13" s="39" t="s">
        <v>120</v>
      </c>
      <c r="K13" s="9">
        <v>476.2</v>
      </c>
      <c r="L13" s="10">
        <v>235.1</v>
      </c>
      <c r="M13" s="11">
        <v>5.11</v>
      </c>
      <c r="N13" s="12">
        <v>79.2</v>
      </c>
      <c r="O13" s="12">
        <v>93.2</v>
      </c>
      <c r="P13" s="34">
        <v>24120514</v>
      </c>
    </row>
    <row r="14" ht="16.5" spans="1:16">
      <c r="J14" s="39" t="s">
        <v>121</v>
      </c>
      <c r="K14" s="9">
        <v>488.8</v>
      </c>
      <c r="L14" s="10">
        <v>296.4</v>
      </c>
      <c r="M14" s="11">
        <v>4.72</v>
      </c>
      <c r="N14" s="12">
        <v>89.9</v>
      </c>
      <c r="O14" s="12">
        <v>96.8</v>
      </c>
      <c r="P14" s="34">
        <v>24110491</v>
      </c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B3:C13 K3:L14"/>
  </dataValidation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115</v>
      </c>
      <c r="B1" s="2">
        <f>SUM(B3:B17)</f>
        <v>5073.8</v>
      </c>
      <c r="C1" s="3" cm="1">
        <f t="array" ref="C1">SUMPRODUCT(C3:C17*B3:B17)/B1</f>
        <v>217.500122196381</v>
      </c>
      <c r="D1" s="4" cm="1">
        <f t="array" ref="D1">SUMPRODUCT(B3:B23*D3:D23)/B1</f>
        <v>4.97424770389058</v>
      </c>
      <c r="E1" s="3" cm="1">
        <f t="array" ref="E1">SUMPRODUCT(B3:B23*E3:E23)/B1</f>
        <v>78.1809925499626</v>
      </c>
      <c r="F1" s="3" cm="1">
        <f t="array" ref="F1">SUMPRODUCT(B3:B23*F3:F23)/B1</f>
        <v>92.762694627301</v>
      </c>
    </row>
    <row r="2" ht="16.5" spans="1:7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122</v>
      </c>
      <c r="B3" s="9">
        <v>495.6</v>
      </c>
      <c r="C3" s="10">
        <v>169.3</v>
      </c>
      <c r="D3" s="11">
        <v>4.08</v>
      </c>
      <c r="E3" s="12">
        <v>62.3</v>
      </c>
      <c r="F3" s="12">
        <v>85.4</v>
      </c>
      <c r="G3" s="34">
        <v>24120495</v>
      </c>
    </row>
    <row r="4" ht="16.5" spans="1:7">
      <c r="A4" s="39" t="s">
        <v>123</v>
      </c>
      <c r="B4" s="9">
        <v>494.4</v>
      </c>
      <c r="C4" s="10">
        <v>163.7</v>
      </c>
      <c r="D4" s="11">
        <v>3.94</v>
      </c>
      <c r="E4" s="12">
        <v>62</v>
      </c>
      <c r="F4" s="12">
        <v>85.3</v>
      </c>
      <c r="G4" s="34">
        <v>24120497</v>
      </c>
    </row>
    <row r="5" ht="16.5" spans="1:7">
      <c r="A5" s="39" t="s">
        <v>124</v>
      </c>
      <c r="B5" s="9">
        <v>458</v>
      </c>
      <c r="C5" s="10">
        <v>257</v>
      </c>
      <c r="D5" s="11">
        <v>5.09</v>
      </c>
      <c r="E5" s="12">
        <v>88.3</v>
      </c>
      <c r="F5" s="12">
        <v>96.7</v>
      </c>
      <c r="G5" s="34">
        <v>24120366</v>
      </c>
    </row>
    <row r="6" ht="16.5" spans="1:7">
      <c r="A6" s="39" t="s">
        <v>125</v>
      </c>
      <c r="B6" s="9">
        <v>506.2</v>
      </c>
      <c r="C6" s="10">
        <v>269.3</v>
      </c>
      <c r="D6" s="11">
        <v>5.08</v>
      </c>
      <c r="E6" s="12">
        <v>89</v>
      </c>
      <c r="F6" s="12">
        <v>97.3</v>
      </c>
      <c r="G6" s="34">
        <v>24120532</v>
      </c>
    </row>
    <row r="7" ht="16.5" spans="1:7">
      <c r="A7" s="39" t="s">
        <v>126</v>
      </c>
      <c r="B7" s="9">
        <v>216</v>
      </c>
      <c r="C7" s="10">
        <v>163.1</v>
      </c>
      <c r="D7" s="11">
        <v>5.66</v>
      </c>
      <c r="E7" s="12">
        <v>86</v>
      </c>
      <c r="F7" s="12">
        <v>96.9</v>
      </c>
      <c r="G7" s="34">
        <v>25010011</v>
      </c>
    </row>
    <row r="8" ht="16.5" spans="1:7">
      <c r="A8" s="39" t="s">
        <v>127</v>
      </c>
      <c r="B8" s="9">
        <v>503.4</v>
      </c>
      <c r="C8" s="10">
        <v>235.5</v>
      </c>
      <c r="D8" s="11">
        <v>5.87</v>
      </c>
      <c r="E8" s="12">
        <v>78.7</v>
      </c>
      <c r="F8" s="12">
        <v>93.3</v>
      </c>
      <c r="G8" s="34">
        <v>24120633</v>
      </c>
    </row>
    <row r="9" ht="16.5" spans="1:7">
      <c r="A9" s="39" t="s">
        <v>128</v>
      </c>
      <c r="B9" s="9">
        <v>508.8</v>
      </c>
      <c r="C9" s="10">
        <v>232.4</v>
      </c>
      <c r="D9" s="11">
        <v>5.73</v>
      </c>
      <c r="E9" s="12">
        <v>75.6</v>
      </c>
      <c r="F9" s="12">
        <v>91.8</v>
      </c>
      <c r="G9" s="34">
        <v>24120635</v>
      </c>
    </row>
    <row r="10" ht="16.5" spans="1:7">
      <c r="A10" s="39" t="s">
        <v>129</v>
      </c>
      <c r="B10" s="9">
        <v>501.2</v>
      </c>
      <c r="C10" s="10">
        <v>234.1</v>
      </c>
      <c r="D10" s="11">
        <v>5.22</v>
      </c>
      <c r="E10" s="12">
        <v>81.8</v>
      </c>
      <c r="F10" s="12">
        <v>94.6</v>
      </c>
      <c r="G10" s="34">
        <v>24120540</v>
      </c>
    </row>
    <row r="11" ht="16.5" spans="1:7">
      <c r="A11" s="39" t="s">
        <v>130</v>
      </c>
      <c r="B11" s="9">
        <v>481.8</v>
      </c>
      <c r="C11" s="10">
        <v>238.9</v>
      </c>
      <c r="D11" s="11">
        <v>4.89</v>
      </c>
      <c r="E11" s="12">
        <v>83.6</v>
      </c>
      <c r="F11" s="12">
        <v>95.7</v>
      </c>
      <c r="G11" s="34">
        <v>24120338</v>
      </c>
    </row>
    <row r="12" ht="16.5" spans="1:7">
      <c r="A12" s="39" t="s">
        <v>131</v>
      </c>
      <c r="B12" s="9">
        <v>440.6</v>
      </c>
      <c r="C12" s="10">
        <v>234.4</v>
      </c>
      <c r="D12" s="11">
        <v>5.11</v>
      </c>
      <c r="E12" s="12">
        <v>89.3</v>
      </c>
      <c r="F12" s="12">
        <v>97.7</v>
      </c>
      <c r="G12" s="34">
        <v>25010158</v>
      </c>
    </row>
    <row r="13" ht="16.5" spans="1:7">
      <c r="A13" s="39" t="s">
        <v>132</v>
      </c>
      <c r="B13" s="9">
        <v>467.8</v>
      </c>
      <c r="C13" s="10">
        <v>164.5</v>
      </c>
      <c r="D13" s="11">
        <v>4.38</v>
      </c>
      <c r="E13" s="12">
        <v>69.2</v>
      </c>
      <c r="F13" s="12">
        <v>88.6</v>
      </c>
      <c r="G13" s="9">
        <v>25010134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3"/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116</v>
      </c>
      <c r="B1" s="2">
        <f>SUM(B3:B17)</f>
        <v>5049.2</v>
      </c>
      <c r="C1" s="3" cm="1">
        <f t="array" ref="C1">SUMPRODUCT(C3:C17*B3:B17)/B1</f>
        <v>157.513958646914</v>
      </c>
      <c r="D1" s="4" cm="1">
        <f t="array" ref="D1">SUMPRODUCT(B3:B23*D3:D23)/B1</f>
        <v>3.85733502337004</v>
      </c>
      <c r="E1" s="3" cm="1">
        <f t="array" ref="E1">SUMPRODUCT(B3:B23*E3:E23)/B1</f>
        <v>75.1349005783094</v>
      </c>
      <c r="F1" s="3" cm="1">
        <f t="array" ref="F1">SUMPRODUCT(B3:B23*F3:F23)/B1</f>
        <v>77.1235364018062</v>
      </c>
    </row>
    <row r="2" ht="16.5" spans="1:7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133</v>
      </c>
      <c r="B3" s="9">
        <v>507.8</v>
      </c>
      <c r="C3" s="10">
        <v>102.9</v>
      </c>
      <c r="D3" s="11">
        <v>2.77</v>
      </c>
      <c r="E3" s="12">
        <v>78.2</v>
      </c>
      <c r="F3" s="12">
        <v>94.6</v>
      </c>
      <c r="G3" s="34">
        <v>25010172</v>
      </c>
    </row>
    <row r="4" ht="16.5" spans="1:7">
      <c r="A4" s="39" t="s">
        <v>134</v>
      </c>
      <c r="B4" s="9">
        <v>530</v>
      </c>
      <c r="C4" s="10">
        <v>104.9</v>
      </c>
      <c r="D4" s="11">
        <v>2.74</v>
      </c>
      <c r="E4" s="12">
        <v>78.8</v>
      </c>
      <c r="F4" s="12">
        <v>95</v>
      </c>
      <c r="G4" s="34">
        <v>25010173</v>
      </c>
    </row>
    <row r="5" ht="16.5" spans="1:7">
      <c r="A5" s="39" t="s">
        <v>135</v>
      </c>
      <c r="B5" s="9">
        <v>456</v>
      </c>
      <c r="C5" s="10">
        <v>152.5</v>
      </c>
      <c r="D5" s="11">
        <v>3.94</v>
      </c>
      <c r="E5" s="12">
        <v>71.9</v>
      </c>
      <c r="F5" s="12">
        <v>88.3</v>
      </c>
      <c r="G5" s="34">
        <v>25010197</v>
      </c>
    </row>
    <row r="6" ht="16.5" spans="1:7">
      <c r="A6" s="39" t="s">
        <v>136</v>
      </c>
      <c r="B6" s="9">
        <v>549.2</v>
      </c>
      <c r="C6" s="10">
        <v>104.4</v>
      </c>
      <c r="D6" s="11">
        <v>2.64</v>
      </c>
      <c r="E6" s="12">
        <v>80</v>
      </c>
      <c r="F6" s="12">
        <v>94.1</v>
      </c>
      <c r="G6" s="34">
        <v>25010199</v>
      </c>
    </row>
    <row r="7" ht="16.5" spans="1:7">
      <c r="A7" s="39" t="s">
        <v>137</v>
      </c>
      <c r="B7" s="9">
        <v>294.2</v>
      </c>
      <c r="C7" s="10">
        <v>103.4</v>
      </c>
      <c r="D7" s="11">
        <v>2.61</v>
      </c>
      <c r="E7" s="12">
        <v>75.3</v>
      </c>
      <c r="F7" s="12">
        <v>93</v>
      </c>
      <c r="G7" s="34">
        <v>25010176</v>
      </c>
    </row>
    <row r="8" ht="16.5" spans="1:7">
      <c r="A8" s="39" t="s">
        <v>138</v>
      </c>
      <c r="B8" s="9">
        <v>507.6</v>
      </c>
      <c r="C8" s="10">
        <v>189</v>
      </c>
      <c r="D8" s="11">
        <v>5.13</v>
      </c>
      <c r="E8" s="12">
        <v>63.4</v>
      </c>
      <c r="F8" s="12">
        <v>86.1</v>
      </c>
      <c r="G8" s="34">
        <v>24120607</v>
      </c>
    </row>
    <row r="9" ht="16.5" spans="1:7">
      <c r="A9" s="39" t="s">
        <v>139</v>
      </c>
      <c r="B9" s="9">
        <v>412.8</v>
      </c>
      <c r="C9" s="10">
        <v>239.8</v>
      </c>
      <c r="D9" s="11">
        <v>4.8</v>
      </c>
      <c r="E9" s="12">
        <v>82</v>
      </c>
      <c r="F9" s="12">
        <v>94.4</v>
      </c>
      <c r="G9" s="34">
        <v>24120598</v>
      </c>
    </row>
    <row r="10" ht="16.5" spans="1:7">
      <c r="A10" s="39" t="s">
        <v>140</v>
      </c>
      <c r="B10" s="9">
        <v>497.8</v>
      </c>
      <c r="C10" s="10">
        <v>204.7</v>
      </c>
      <c r="D10" s="11">
        <v>5.02</v>
      </c>
      <c r="E10" s="12">
        <v>73.2</v>
      </c>
      <c r="F10" s="12">
        <v>90</v>
      </c>
      <c r="G10" s="34">
        <v>24120571</v>
      </c>
    </row>
    <row r="11" ht="16.5" spans="1:7">
      <c r="A11" s="39" t="s">
        <v>141</v>
      </c>
      <c r="B11" s="9">
        <v>493.8</v>
      </c>
      <c r="C11" s="10">
        <v>202</v>
      </c>
      <c r="D11" s="11">
        <v>5.02</v>
      </c>
      <c r="E11" s="12">
        <v>72.4</v>
      </c>
      <c r="F11" s="12">
        <v>89.6</v>
      </c>
      <c r="G11" s="34">
        <v>24120572</v>
      </c>
    </row>
    <row r="12" spans="1:7">
      <c r="A12" s="197"/>
      <c r="B12" s="197">
        <v>800</v>
      </c>
      <c r="C12" s="197">
        <v>167</v>
      </c>
      <c r="D12" s="197">
        <v>3.8</v>
      </c>
      <c r="E12" s="197">
        <v>76</v>
      </c>
      <c r="F12" s="197"/>
    </row>
  </sheetData>
  <conditionalFormatting sqref="A1:A2">
    <cfRule type="duplicateValues" dxfId="0" priority="1"/>
  </conditionalFormatting>
  <dataValidations count="1">
    <dataValidation allowBlank="1" showInputMessage="1" showErrorMessage="1" sqref="B3:C11"/>
  </dataValidation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E26" sqref="E26"/>
    </sheetView>
  </sheetViews>
  <sheetFormatPr defaultColWidth="9" defaultRowHeight="13.5"/>
  <cols>
    <col min="1" max="1" width="15.625" customWidth="1"/>
    <col min="8" max="8" width="9.375"/>
    <col min="10" max="10" width="15.625" customWidth="1"/>
    <col min="17" max="17" width="9.375"/>
  </cols>
  <sheetData>
    <row r="1" ht="16.5" spans="1:17">
      <c r="A1" s="116" t="s">
        <v>142</v>
      </c>
      <c r="B1" s="2">
        <f>SUM(B3:B17)</f>
        <v>4990</v>
      </c>
      <c r="C1" s="3" cm="1">
        <f t="array" ref="C1">SUMPRODUCT(C3:C17*B3:B17)/B1</f>
        <v>161.97328256513</v>
      </c>
      <c r="D1" s="4" cm="1">
        <f t="array" ref="D1">SUMPRODUCT(B3:B23*D3:D23)/B1</f>
        <v>3.9086753507014</v>
      </c>
      <c r="E1" s="3" cm="1">
        <f t="array" ref="E1">SUMPRODUCT(B3:B23*E3:E23)/B1</f>
        <v>76.091002004008</v>
      </c>
      <c r="F1" s="3" cm="1">
        <f t="array" ref="F1">SUMPRODUCT(B3:B23*F3:F23)/B1</f>
        <v>92.5874348697395</v>
      </c>
      <c r="G1" s="3" cm="1">
        <f t="array" ref="G1">SUMPRODUCT(B3:B23*G3:G23)/B1</f>
        <v>11.8924200400802</v>
      </c>
      <c r="J1" s="116" t="s">
        <v>143</v>
      </c>
      <c r="K1" s="2">
        <f>SUM(K3:K17)</f>
        <v>5037.4</v>
      </c>
      <c r="L1" s="3" cm="1">
        <f t="array" ref="L1">SUMPRODUCT(L3:L17*K3:K17)/K1</f>
        <v>161.675916147219</v>
      </c>
      <c r="M1" s="4" cm="1">
        <f t="array" ref="M1">SUMPRODUCT(K3:K23*M3:M23)/K1</f>
        <v>3.89861158534164</v>
      </c>
      <c r="N1" s="3" cm="1">
        <f t="array" ref="N1">SUMPRODUCT(K3:K23*N3:N23)/K1</f>
        <v>76.9181561916862</v>
      </c>
      <c r="O1" s="3" cm="1">
        <f t="array" ref="O1">SUMPRODUCT(K3:K23*O3:O23)/K1</f>
        <v>92.788684638901</v>
      </c>
      <c r="P1" s="3" cm="1">
        <f t="array" ref="P1">SUMPRODUCT(K3:K23*P3:P23)/K1</f>
        <v>11.854122364712</v>
      </c>
    </row>
    <row r="2" ht="16.5" spans="1:17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J2" s="6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  <c r="P2" s="6" t="s">
        <v>5</v>
      </c>
    </row>
    <row r="3" ht="16.5" spans="1:17">
      <c r="A3" s="39" t="s">
        <v>144</v>
      </c>
      <c r="B3" s="9">
        <v>534.8</v>
      </c>
      <c r="C3" s="10">
        <v>129.4</v>
      </c>
      <c r="D3" s="11">
        <v>3.18</v>
      </c>
      <c r="E3" s="12">
        <v>76.8</v>
      </c>
      <c r="F3" s="12">
        <v>92.9</v>
      </c>
      <c r="G3" s="11">
        <v>10.91</v>
      </c>
      <c r="H3" s="34">
        <v>25010140</v>
      </c>
      <c r="J3" s="39" t="s">
        <v>145</v>
      </c>
      <c r="K3" s="9">
        <v>511.8</v>
      </c>
      <c r="L3" s="10">
        <v>187.9</v>
      </c>
      <c r="M3" s="11">
        <v>5</v>
      </c>
      <c r="N3" s="12">
        <v>61.9</v>
      </c>
      <c r="O3" s="12">
        <v>85.5</v>
      </c>
      <c r="P3" s="11">
        <v>10.99</v>
      </c>
      <c r="Q3" s="34">
        <v>25010080</v>
      </c>
    </row>
    <row r="4" ht="16.5" spans="1:17">
      <c r="A4" s="39" t="s">
        <v>146</v>
      </c>
      <c r="B4" s="9">
        <v>520.6</v>
      </c>
      <c r="C4" s="10">
        <v>125.2</v>
      </c>
      <c r="D4" s="11">
        <v>3.12</v>
      </c>
      <c r="E4" s="12">
        <v>76.5</v>
      </c>
      <c r="F4" s="12">
        <v>92.7</v>
      </c>
      <c r="G4" s="11">
        <v>11.02</v>
      </c>
      <c r="H4" s="34">
        <v>25010141</v>
      </c>
      <c r="J4" s="39" t="s">
        <v>147</v>
      </c>
      <c r="K4" s="9">
        <v>297.2</v>
      </c>
      <c r="L4" s="10">
        <v>180.1</v>
      </c>
      <c r="M4" s="11">
        <v>4.89</v>
      </c>
      <c r="N4" s="12">
        <v>60.3</v>
      </c>
      <c r="O4" s="12">
        <v>84.6</v>
      </c>
      <c r="P4" s="11">
        <v>10.88</v>
      </c>
      <c r="Q4" s="34">
        <v>25010082</v>
      </c>
    </row>
    <row r="5" ht="16.5" spans="1:17">
      <c r="A5" s="39" t="s">
        <v>148</v>
      </c>
      <c r="B5" s="9">
        <v>515.2</v>
      </c>
      <c r="C5" s="10">
        <v>122.2</v>
      </c>
      <c r="D5" s="11">
        <v>3.03</v>
      </c>
      <c r="E5" s="12">
        <v>76.6</v>
      </c>
      <c r="F5" s="12">
        <v>93</v>
      </c>
      <c r="G5" s="11">
        <v>11.12</v>
      </c>
      <c r="H5" s="34">
        <v>25010142</v>
      </c>
      <c r="J5" s="39" t="s">
        <v>149</v>
      </c>
      <c r="K5" s="9">
        <v>518.6</v>
      </c>
      <c r="L5" s="10">
        <v>153.6</v>
      </c>
      <c r="M5" s="11">
        <v>3.73</v>
      </c>
      <c r="N5" s="12">
        <v>79.5</v>
      </c>
      <c r="O5" s="12">
        <v>93.8</v>
      </c>
      <c r="P5" s="11">
        <v>11.73</v>
      </c>
      <c r="Q5" s="34">
        <v>25010167</v>
      </c>
    </row>
    <row r="6" ht="16.5" spans="1:17">
      <c r="A6" s="39" t="s">
        <v>150</v>
      </c>
      <c r="B6" s="9">
        <v>464.6</v>
      </c>
      <c r="C6" s="10">
        <v>236.4</v>
      </c>
      <c r="D6" s="11">
        <v>5.49</v>
      </c>
      <c r="E6" s="12">
        <v>82.5</v>
      </c>
      <c r="F6" s="12">
        <v>95.3</v>
      </c>
      <c r="G6" s="11">
        <v>11.44</v>
      </c>
      <c r="H6" s="34">
        <v>25010130</v>
      </c>
      <c r="J6" s="39" t="s">
        <v>151</v>
      </c>
      <c r="K6" s="9">
        <v>512.2</v>
      </c>
      <c r="L6" s="10">
        <v>151.4</v>
      </c>
      <c r="M6" s="11">
        <v>3.65</v>
      </c>
      <c r="N6" s="12">
        <v>79.1</v>
      </c>
      <c r="O6" s="12">
        <v>93.4</v>
      </c>
      <c r="P6" s="11">
        <v>11.68</v>
      </c>
      <c r="Q6" s="34">
        <v>25010168</v>
      </c>
    </row>
    <row r="7" ht="16.5" spans="1:17">
      <c r="A7" s="39" t="s">
        <v>152</v>
      </c>
      <c r="B7" s="9">
        <v>211.4</v>
      </c>
      <c r="C7" s="10">
        <v>209.9</v>
      </c>
      <c r="D7" s="11">
        <v>5.52</v>
      </c>
      <c r="E7" s="12">
        <v>71.7</v>
      </c>
      <c r="F7" s="12">
        <v>90.2</v>
      </c>
      <c r="G7" s="11">
        <v>12.19</v>
      </c>
      <c r="H7" s="34">
        <v>25010133</v>
      </c>
      <c r="J7" s="39" t="s">
        <v>153</v>
      </c>
      <c r="K7" s="9">
        <v>483.2</v>
      </c>
      <c r="L7" s="10">
        <v>148.3</v>
      </c>
      <c r="M7" s="11">
        <v>3.61</v>
      </c>
      <c r="N7" s="12">
        <v>79</v>
      </c>
      <c r="O7" s="12">
        <v>93.5</v>
      </c>
      <c r="P7" s="11">
        <v>11.8</v>
      </c>
      <c r="Q7" s="34">
        <v>25010169</v>
      </c>
    </row>
    <row r="8" ht="16.5" spans="1:17">
      <c r="A8" s="39" t="s">
        <v>154</v>
      </c>
      <c r="B8" s="9">
        <v>451</v>
      </c>
      <c r="C8" s="10">
        <v>133.2</v>
      </c>
      <c r="D8" s="11">
        <v>3.31</v>
      </c>
      <c r="E8" s="12">
        <v>75.3</v>
      </c>
      <c r="F8" s="12">
        <v>92.4</v>
      </c>
      <c r="G8" s="11">
        <v>13.69</v>
      </c>
      <c r="H8" s="34">
        <v>25010029</v>
      </c>
      <c r="J8" s="39" t="s">
        <v>155</v>
      </c>
      <c r="K8" s="9">
        <v>517</v>
      </c>
      <c r="L8" s="10">
        <v>106.7</v>
      </c>
      <c r="M8" s="11">
        <v>2.74</v>
      </c>
      <c r="N8" s="12">
        <v>79.4</v>
      </c>
      <c r="O8" s="12">
        <v>95.2</v>
      </c>
      <c r="P8" s="11">
        <v>12.12</v>
      </c>
      <c r="Q8" s="34">
        <v>25010170</v>
      </c>
    </row>
    <row r="9" ht="16.5" spans="1:17">
      <c r="A9" s="39" t="s">
        <v>156</v>
      </c>
      <c r="B9" s="9">
        <v>270.4</v>
      </c>
      <c r="C9" s="10">
        <v>130.3</v>
      </c>
      <c r="D9" s="11">
        <v>3.24</v>
      </c>
      <c r="E9" s="12">
        <v>75.9</v>
      </c>
      <c r="F9" s="12">
        <v>93</v>
      </c>
      <c r="G9" s="11">
        <v>13.49</v>
      </c>
      <c r="H9" s="34">
        <v>25010030</v>
      </c>
      <c r="J9" s="39" t="s">
        <v>157</v>
      </c>
      <c r="K9" s="9">
        <v>531.8</v>
      </c>
      <c r="L9" s="10">
        <v>104.5</v>
      </c>
      <c r="M9" s="11">
        <v>2.74</v>
      </c>
      <c r="N9" s="12">
        <v>78.3</v>
      </c>
      <c r="O9" s="12">
        <v>94.7</v>
      </c>
      <c r="P9" s="11">
        <v>11.99</v>
      </c>
      <c r="Q9" s="34">
        <v>25010171</v>
      </c>
    </row>
    <row r="10" ht="16.5" spans="1:17">
      <c r="A10" s="39" t="s">
        <v>158</v>
      </c>
      <c r="B10" s="9">
        <v>514.4</v>
      </c>
      <c r="C10" s="10">
        <v>110.6</v>
      </c>
      <c r="D10" s="11">
        <v>2.8</v>
      </c>
      <c r="E10" s="12">
        <v>63</v>
      </c>
      <c r="F10" s="12">
        <v>87.2</v>
      </c>
      <c r="G10" s="11">
        <v>12.55</v>
      </c>
      <c r="H10" s="34">
        <v>24120553</v>
      </c>
      <c r="J10" s="39" t="s">
        <v>159</v>
      </c>
      <c r="K10" s="9">
        <v>463.8</v>
      </c>
      <c r="L10" s="10">
        <v>238.4</v>
      </c>
      <c r="M10" s="11">
        <v>4.89</v>
      </c>
      <c r="N10" s="12">
        <v>82.6</v>
      </c>
      <c r="O10" s="12">
        <v>94.6</v>
      </c>
      <c r="P10" s="11">
        <v>12.69</v>
      </c>
      <c r="Q10" s="34">
        <v>24120340</v>
      </c>
    </row>
    <row r="11" ht="16.5" spans="1:17">
      <c r="A11" s="39" t="s">
        <v>160</v>
      </c>
      <c r="B11" s="9">
        <v>505.4</v>
      </c>
      <c r="C11" s="10">
        <v>247.8</v>
      </c>
      <c r="D11" s="11">
        <v>5.66</v>
      </c>
      <c r="E11" s="12">
        <v>86.3</v>
      </c>
      <c r="F11" s="12">
        <v>97.1</v>
      </c>
      <c r="G11" s="11">
        <v>11.65</v>
      </c>
      <c r="H11" s="34">
        <v>25010126</v>
      </c>
      <c r="J11" s="39" t="s">
        <v>161</v>
      </c>
      <c r="K11" s="9">
        <v>250.2</v>
      </c>
      <c r="L11" s="10">
        <v>239</v>
      </c>
      <c r="M11" s="11">
        <v>4.72</v>
      </c>
      <c r="N11" s="12">
        <v>81.6</v>
      </c>
      <c r="O11" s="12">
        <v>94</v>
      </c>
      <c r="P11" s="11">
        <v>12.04</v>
      </c>
      <c r="Q11" s="34">
        <v>24120599</v>
      </c>
    </row>
    <row r="12" ht="16.5" spans="1:17">
      <c r="A12" s="39" t="s">
        <v>162</v>
      </c>
      <c r="B12" s="9">
        <v>513.8</v>
      </c>
      <c r="C12" s="10">
        <v>245.8</v>
      </c>
      <c r="D12" s="11">
        <v>5.68</v>
      </c>
      <c r="E12" s="12">
        <v>86</v>
      </c>
      <c r="F12" s="12">
        <v>96.9</v>
      </c>
      <c r="G12" s="11">
        <v>11.59</v>
      </c>
      <c r="H12" s="34">
        <v>25010127</v>
      </c>
      <c r="J12" s="39" t="s">
        <v>163</v>
      </c>
      <c r="K12" s="9">
        <v>492.4</v>
      </c>
      <c r="L12" s="10">
        <v>217.2</v>
      </c>
      <c r="M12" s="11">
        <v>5.13</v>
      </c>
      <c r="N12" s="12">
        <v>84.1</v>
      </c>
      <c r="O12" s="12">
        <v>95.7</v>
      </c>
      <c r="P12" s="11">
        <v>12.68</v>
      </c>
      <c r="Q12" s="34">
        <v>24120602</v>
      </c>
    </row>
    <row r="13" ht="16.5" spans="1:17">
      <c r="A13" s="39" t="s">
        <v>164</v>
      </c>
      <c r="B13" s="9">
        <v>310.2</v>
      </c>
      <c r="C13" s="10">
        <v>105.8</v>
      </c>
      <c r="D13" s="11">
        <v>2.64</v>
      </c>
      <c r="E13" s="12">
        <v>64</v>
      </c>
      <c r="F13" s="12">
        <v>86.3</v>
      </c>
      <c r="G13" s="11">
        <v>12.58</v>
      </c>
      <c r="H13" s="34">
        <v>25010008</v>
      </c>
      <c r="J13" s="39" t="s">
        <v>165</v>
      </c>
      <c r="K13" s="9">
        <v>285.6</v>
      </c>
      <c r="L13" s="10">
        <v>105</v>
      </c>
      <c r="M13" s="11">
        <v>2.64</v>
      </c>
      <c r="N13" s="12">
        <v>76.6</v>
      </c>
      <c r="O13" s="12">
        <v>93.1</v>
      </c>
      <c r="P13" s="11">
        <v>11.71</v>
      </c>
      <c r="Q13" s="34">
        <v>25010145</v>
      </c>
    </row>
    <row r="14" ht="16.5" spans="1:17">
      <c r="A14" s="39" t="s">
        <v>166</v>
      </c>
      <c r="B14" s="9">
        <v>178.2</v>
      </c>
      <c r="C14" s="10">
        <v>113.1</v>
      </c>
      <c r="D14" s="11">
        <v>2.77</v>
      </c>
      <c r="E14" s="12">
        <v>63.4</v>
      </c>
      <c r="F14" s="12">
        <v>87</v>
      </c>
      <c r="G14" s="11">
        <v>11.94</v>
      </c>
      <c r="H14" s="34">
        <v>24120131</v>
      </c>
      <c r="J14" s="39" t="s">
        <v>167</v>
      </c>
      <c r="K14" s="9">
        <v>173.6</v>
      </c>
      <c r="L14" s="10">
        <v>102.7</v>
      </c>
      <c r="M14" s="11">
        <v>2.74</v>
      </c>
      <c r="N14" s="12">
        <v>76.3</v>
      </c>
      <c r="O14" s="12">
        <v>93.1</v>
      </c>
      <c r="P14" s="11">
        <v>11.29</v>
      </c>
      <c r="Q14" s="34">
        <v>25010146</v>
      </c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B3:C14 K3:L14"/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J1" sqref="J$1:Q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118</v>
      </c>
      <c r="B1" s="2">
        <f>SUM(B3:B17)</f>
        <v>1052</v>
      </c>
      <c r="C1" s="3" cm="1">
        <f t="array" ref="C1">SUMPRODUCT(C3:C17*B3:B17)/B1</f>
        <v>137.236368821293</v>
      </c>
      <c r="D1" s="4" cm="1">
        <f t="array" ref="D1">SUMPRODUCT(B3:B23*D3:D23)/B1</f>
        <v>3.41820152091255</v>
      </c>
      <c r="E1" s="3" cm="1">
        <f t="array" ref="E1">SUMPRODUCT(B3:B23*E3:E23)/B1</f>
        <v>73.4261596958175</v>
      </c>
      <c r="F1" s="3" cm="1">
        <f t="array" ref="F1">SUMPRODUCT(B3:B23*F3:F23)/B1</f>
        <v>91.3655323193916</v>
      </c>
    </row>
    <row r="2" ht="16.5" spans="1:7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168</v>
      </c>
      <c r="B3" s="9">
        <v>517.4</v>
      </c>
      <c r="C3" s="10">
        <v>144.3</v>
      </c>
      <c r="D3" s="11">
        <v>3.53</v>
      </c>
      <c r="E3" s="12">
        <v>71.8</v>
      </c>
      <c r="F3" s="12">
        <v>90.4</v>
      </c>
      <c r="G3" s="34">
        <v>24120498</v>
      </c>
    </row>
    <row r="4" ht="16.5" spans="1:7">
      <c r="A4" s="39" t="s">
        <v>169</v>
      </c>
      <c r="B4" s="9">
        <v>534.6</v>
      </c>
      <c r="C4" s="10">
        <v>130.4</v>
      </c>
      <c r="D4" s="11">
        <v>3.31</v>
      </c>
      <c r="E4" s="12">
        <v>75</v>
      </c>
      <c r="F4" s="12">
        <v>92.3</v>
      </c>
      <c r="G4" s="34">
        <v>24120577</v>
      </c>
    </row>
    <row r="5" ht="16.5" spans="1:7">
      <c r="A5" s="115"/>
      <c r="B5" s="109"/>
      <c r="C5" s="111"/>
      <c r="D5" s="112"/>
      <c r="E5" s="113"/>
      <c r="F5" s="113"/>
    </row>
    <row r="6" ht="16.5" spans="1:7">
      <c r="A6" s="23"/>
      <c r="B6" s="14"/>
      <c r="C6" s="15"/>
      <c r="D6" s="16"/>
      <c r="E6" s="17"/>
      <c r="F6" s="17"/>
    </row>
    <row r="7" ht="16.5" spans="1:7">
      <c r="A7" s="23"/>
      <c r="B7" s="14"/>
      <c r="C7" s="15"/>
      <c r="D7" s="16"/>
      <c r="E7" s="17"/>
      <c r="F7" s="17"/>
    </row>
    <row r="8" ht="16.5" spans="1:7">
      <c r="A8" s="23"/>
      <c r="B8" s="14"/>
      <c r="C8" s="15"/>
      <c r="D8" s="16"/>
      <c r="E8" s="17"/>
      <c r="F8" s="17"/>
    </row>
    <row r="9" ht="16.5" spans="1:7">
      <c r="A9" s="23"/>
      <c r="B9" s="14"/>
      <c r="C9" s="15"/>
      <c r="D9" s="16"/>
      <c r="E9" s="17"/>
      <c r="F9" s="17"/>
    </row>
  </sheetData>
  <conditionalFormatting sqref="A1:A2">
    <cfRule type="duplicateValues" dxfId="0" priority="13"/>
  </conditionalFormatting>
  <dataValidations count="1">
    <dataValidation allowBlank="1" showInputMessage="1" showErrorMessage="1" sqref="B3:C9"/>
  </dataValidation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J29" sqref="J29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</cols>
  <sheetData>
    <row r="1" ht="16.5" spans="1:16">
      <c r="A1" s="116">
        <v>119</v>
      </c>
      <c r="B1" s="2">
        <f>SUM(B3:B17)</f>
        <v>4557</v>
      </c>
      <c r="C1" s="3" cm="1">
        <f t="array" ref="C1">SUMPRODUCT(C3:C17*B3:B17)/B1</f>
        <v>216.667518104016</v>
      </c>
      <c r="D1" s="4" cm="1">
        <f t="array" ref="D1">SUMPRODUCT(B3:B23*D3:D23)/B1</f>
        <v>5.00128066710555</v>
      </c>
      <c r="E1" s="3" cm="1">
        <f t="array" ref="E1">SUMPRODUCT(B3:B23*E3:E23)/B1</f>
        <v>78.1985429010314</v>
      </c>
      <c r="F1" s="3" cm="1">
        <f t="array" ref="F1">SUMPRODUCT(B3:B23*F3:F23)/B1</f>
        <v>93.0435637480799</v>
      </c>
      <c r="J1" s="116">
        <v>120</v>
      </c>
      <c r="K1" s="2">
        <f>SUM(K3:K17)</f>
        <v>5116.2</v>
      </c>
      <c r="L1" s="3" cm="1">
        <f t="array" ref="L1">SUMPRODUCT(L3:L17*K3:K17)/K1</f>
        <v>216.173148039561</v>
      </c>
      <c r="M1" s="4" cm="1">
        <f t="array" ref="M1">SUMPRODUCT(K3:K23*M3:M23)/K1</f>
        <v>4.97337203393143</v>
      </c>
      <c r="N1" s="3" cm="1">
        <f t="array" ref="N1">SUMPRODUCT(K3:K23*N3:N23)/K1</f>
        <v>79.4075759352644</v>
      </c>
      <c r="O1" s="3" cm="1">
        <f t="array" ref="O1">SUMPRODUCT(K3:K23*O3:O23)/K1</f>
        <v>93.3249130213831</v>
      </c>
    </row>
    <row r="2" ht="16.5" spans="1:16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39" t="s">
        <v>170</v>
      </c>
      <c r="B3" s="9">
        <v>0</v>
      </c>
      <c r="C3" s="10">
        <v>233.9</v>
      </c>
      <c r="D3" s="11">
        <v>4.77</v>
      </c>
      <c r="E3" s="12">
        <v>85.1</v>
      </c>
      <c r="F3" s="12">
        <v>96.7</v>
      </c>
      <c r="G3" s="34">
        <v>24120254</v>
      </c>
      <c r="J3" s="39" t="s">
        <v>171</v>
      </c>
      <c r="K3" s="9">
        <v>522.4</v>
      </c>
      <c r="L3" s="10">
        <v>236.5</v>
      </c>
      <c r="M3" s="11">
        <v>5.3</v>
      </c>
      <c r="N3" s="12">
        <v>86.1</v>
      </c>
      <c r="O3" s="12">
        <v>96.6</v>
      </c>
      <c r="P3" s="34">
        <v>25010189</v>
      </c>
    </row>
    <row r="4" ht="16.5" spans="1:16">
      <c r="A4" s="39" t="s">
        <v>172</v>
      </c>
      <c r="B4" s="9">
        <v>300</v>
      </c>
      <c r="C4" s="10">
        <v>223.3</v>
      </c>
      <c r="D4" s="11">
        <v>5.35</v>
      </c>
      <c r="E4" s="12">
        <v>74.7</v>
      </c>
      <c r="F4" s="12">
        <v>92.1</v>
      </c>
      <c r="G4" s="34">
        <v>24120263</v>
      </c>
      <c r="J4" s="39" t="s">
        <v>173</v>
      </c>
      <c r="K4" s="9">
        <v>529</v>
      </c>
      <c r="L4" s="10">
        <v>235.4</v>
      </c>
      <c r="M4" s="11">
        <v>5.27</v>
      </c>
      <c r="N4" s="12">
        <v>84.2</v>
      </c>
      <c r="O4" s="12">
        <v>95.6</v>
      </c>
      <c r="P4" s="34">
        <v>25010190</v>
      </c>
    </row>
    <row r="5" ht="16.5" spans="1:16">
      <c r="A5" s="39" t="s">
        <v>174</v>
      </c>
      <c r="B5" s="9">
        <v>479.8</v>
      </c>
      <c r="C5" s="10">
        <v>207.4</v>
      </c>
      <c r="D5" s="11">
        <v>5.24</v>
      </c>
      <c r="E5" s="12">
        <v>70.2</v>
      </c>
      <c r="F5" s="12">
        <v>89.1</v>
      </c>
      <c r="G5" s="34">
        <v>24120319</v>
      </c>
      <c r="J5" s="39" t="s">
        <v>175</v>
      </c>
      <c r="K5" s="9">
        <v>369</v>
      </c>
      <c r="L5" s="10">
        <v>244.8</v>
      </c>
      <c r="M5" s="11">
        <v>5.35</v>
      </c>
      <c r="N5" s="12">
        <v>80.2</v>
      </c>
      <c r="O5" s="12">
        <v>93.4</v>
      </c>
      <c r="P5" s="34">
        <v>25010217</v>
      </c>
    </row>
    <row r="6" ht="16.5" spans="1:16">
      <c r="A6" s="39" t="s">
        <v>176</v>
      </c>
      <c r="B6" s="9">
        <v>410</v>
      </c>
      <c r="C6" s="10">
        <v>208.5</v>
      </c>
      <c r="D6" s="11">
        <v>5.02</v>
      </c>
      <c r="E6" s="12">
        <v>71.3</v>
      </c>
      <c r="F6" s="12">
        <v>89.6</v>
      </c>
      <c r="G6" s="34">
        <v>24120320</v>
      </c>
      <c r="J6" s="39" t="s">
        <v>177</v>
      </c>
      <c r="K6" s="9">
        <v>524.2</v>
      </c>
      <c r="L6" s="10">
        <v>239.6</v>
      </c>
      <c r="M6" s="11">
        <v>5.3</v>
      </c>
      <c r="N6" s="12">
        <v>80.5</v>
      </c>
      <c r="O6" s="12">
        <v>94</v>
      </c>
      <c r="P6" s="34">
        <v>25010241</v>
      </c>
    </row>
    <row r="7" ht="16.5" spans="1:16">
      <c r="A7" s="39" t="s">
        <v>178</v>
      </c>
      <c r="B7" s="9">
        <v>490.6</v>
      </c>
      <c r="C7" s="10">
        <v>204.9</v>
      </c>
      <c r="D7" s="11">
        <v>4.75</v>
      </c>
      <c r="E7" s="12">
        <v>75.3</v>
      </c>
      <c r="F7" s="12">
        <v>91.7</v>
      </c>
      <c r="G7" s="34">
        <v>24120342</v>
      </c>
      <c r="J7" s="39" t="s">
        <v>179</v>
      </c>
      <c r="K7" s="9">
        <v>527</v>
      </c>
      <c r="L7" s="10">
        <v>247.5</v>
      </c>
      <c r="M7" s="11">
        <v>5.27</v>
      </c>
      <c r="N7" s="12">
        <v>89.1</v>
      </c>
      <c r="O7" s="12">
        <v>97.1</v>
      </c>
      <c r="P7" s="34">
        <v>25010266</v>
      </c>
    </row>
    <row r="8" ht="16.5" spans="1:16">
      <c r="A8" s="39" t="s">
        <v>180</v>
      </c>
      <c r="B8" s="9">
        <v>492.4</v>
      </c>
      <c r="C8" s="10">
        <v>221.1</v>
      </c>
      <c r="D8" s="11">
        <v>5.13</v>
      </c>
      <c r="E8" s="12">
        <v>83.9</v>
      </c>
      <c r="F8" s="12">
        <v>95.6</v>
      </c>
      <c r="G8" s="34">
        <v>24120603</v>
      </c>
      <c r="J8" s="39" t="s">
        <v>181</v>
      </c>
      <c r="K8" s="9">
        <v>483</v>
      </c>
      <c r="L8" s="10">
        <v>156.5</v>
      </c>
      <c r="M8" s="11">
        <v>3.97</v>
      </c>
      <c r="N8" s="12">
        <v>69.1</v>
      </c>
      <c r="O8" s="12">
        <v>87.8</v>
      </c>
      <c r="P8" s="34">
        <v>25010250</v>
      </c>
    </row>
    <row r="9" ht="16.5" spans="1:16">
      <c r="A9" s="39" t="s">
        <v>182</v>
      </c>
      <c r="B9" s="9">
        <v>532.4</v>
      </c>
      <c r="C9" s="10">
        <v>207.7</v>
      </c>
      <c r="D9" s="11">
        <v>5.13</v>
      </c>
      <c r="E9" s="12">
        <v>73.1</v>
      </c>
      <c r="F9" s="12">
        <v>91.5</v>
      </c>
      <c r="G9" s="34">
        <v>25010025</v>
      </c>
      <c r="J9" s="39" t="s">
        <v>183</v>
      </c>
      <c r="K9" s="9">
        <v>511</v>
      </c>
      <c r="L9" s="10">
        <v>186.2</v>
      </c>
      <c r="M9" s="11">
        <v>4.52</v>
      </c>
      <c r="N9" s="12">
        <v>73.5</v>
      </c>
      <c r="O9" s="12">
        <v>91.3</v>
      </c>
      <c r="P9" s="34">
        <v>24120346</v>
      </c>
    </row>
    <row r="10" ht="16.5" spans="1:16">
      <c r="A10" s="39" t="s">
        <v>184</v>
      </c>
      <c r="B10" s="9">
        <v>483</v>
      </c>
      <c r="C10" s="10">
        <v>160.4</v>
      </c>
      <c r="D10" s="11">
        <v>4.29</v>
      </c>
      <c r="E10" s="12">
        <v>69.2</v>
      </c>
      <c r="F10" s="12">
        <v>89.2</v>
      </c>
      <c r="G10" s="34">
        <v>24120374</v>
      </c>
      <c r="J10" s="39" t="s">
        <v>185</v>
      </c>
      <c r="K10" s="9">
        <v>425.4</v>
      </c>
      <c r="L10" s="10">
        <v>164.2</v>
      </c>
      <c r="M10" s="11">
        <v>4.32</v>
      </c>
      <c r="N10" s="12">
        <v>69.1</v>
      </c>
      <c r="O10" s="12">
        <v>88.7</v>
      </c>
      <c r="P10" s="34">
        <v>25010136</v>
      </c>
    </row>
    <row r="11" ht="16.5" spans="1:16">
      <c r="A11" s="39" t="s">
        <v>186</v>
      </c>
      <c r="B11" s="9">
        <v>517.8</v>
      </c>
      <c r="C11" s="10">
        <v>252.6</v>
      </c>
      <c r="D11" s="11">
        <v>5.02</v>
      </c>
      <c r="E11" s="12">
        <v>90.1</v>
      </c>
      <c r="F11" s="12">
        <v>97.9</v>
      </c>
      <c r="G11" s="34">
        <v>24120280</v>
      </c>
      <c r="J11" s="39" t="s">
        <v>187</v>
      </c>
      <c r="K11" s="9">
        <v>493.4</v>
      </c>
      <c r="L11" s="10">
        <v>247</v>
      </c>
      <c r="M11" s="11">
        <v>5.79</v>
      </c>
      <c r="N11" s="12">
        <v>86.8</v>
      </c>
      <c r="O11" s="12">
        <v>97.1</v>
      </c>
      <c r="P11" s="34">
        <v>24120631</v>
      </c>
    </row>
    <row r="12" ht="16.5" spans="1:16">
      <c r="A12" s="39" t="s">
        <v>188</v>
      </c>
      <c r="B12" s="9">
        <v>523.6</v>
      </c>
      <c r="C12" s="10">
        <v>247.7</v>
      </c>
      <c r="D12" s="11">
        <v>5.19</v>
      </c>
      <c r="E12" s="12">
        <v>85.5</v>
      </c>
      <c r="F12" s="12">
        <v>96.4</v>
      </c>
      <c r="G12" s="34">
        <v>24120369</v>
      </c>
      <c r="J12" s="39" t="s">
        <v>189</v>
      </c>
      <c r="K12" s="9">
        <v>313</v>
      </c>
      <c r="L12" s="10">
        <v>239.9</v>
      </c>
      <c r="M12" s="11">
        <v>5.24</v>
      </c>
      <c r="N12" s="12">
        <v>86.5</v>
      </c>
      <c r="O12" s="12">
        <v>96.8</v>
      </c>
      <c r="P12" s="34">
        <v>25010187</v>
      </c>
    </row>
    <row r="13" ht="16.5" spans="1:16">
      <c r="A13" s="39" t="s">
        <v>190</v>
      </c>
      <c r="B13" s="9">
        <v>327.4</v>
      </c>
      <c r="C13" s="10">
        <v>236.5</v>
      </c>
      <c r="D13" s="11">
        <v>5</v>
      </c>
      <c r="E13" s="12">
        <v>88.6</v>
      </c>
      <c r="F13" s="12">
        <v>97.3</v>
      </c>
      <c r="G13" s="34">
        <v>25010159</v>
      </c>
      <c r="J13" s="39" t="s">
        <v>191</v>
      </c>
      <c r="K13" s="9">
        <v>418.8</v>
      </c>
      <c r="L13" s="10">
        <v>176.7</v>
      </c>
      <c r="M13" s="11">
        <v>4.29</v>
      </c>
      <c r="N13" s="12">
        <v>66.3</v>
      </c>
      <c r="O13" s="12">
        <v>87.2</v>
      </c>
      <c r="P13" s="34">
        <v>24120345</v>
      </c>
    </row>
  </sheetData>
  <conditionalFormatting sqref="A1:A2">
    <cfRule type="duplicateValues" dxfId="0" priority="4"/>
  </conditionalFormatting>
  <conditionalFormatting sqref="J1:J2">
    <cfRule type="duplicateValues" dxfId="0" priority="1"/>
  </conditionalFormatting>
  <dataValidations count="1">
    <dataValidation allowBlank="1" showInputMessage="1" showErrorMessage="1" sqref="L5 K3:L4 B3:C13 K6:L13"/>
  </dataValidation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workbookViewId="0">
      <selection activeCell="E26" sqref="E26"/>
    </sheetView>
  </sheetViews>
  <sheetFormatPr defaultColWidth="9" defaultRowHeight="13.5"/>
  <cols>
    <col min="1" max="1" width="15.625" customWidth="1"/>
    <col min="7" max="7" width="9.375"/>
    <col min="9" max="9" width="15.625" customWidth="1"/>
    <col min="15" max="15" width="9.375"/>
  </cols>
  <sheetData>
    <row r="1" ht="16.5" spans="1:15">
      <c r="A1" s="116">
        <v>121</v>
      </c>
      <c r="B1" s="2">
        <f>SUM(B3:B15)</f>
        <v>5120.6</v>
      </c>
      <c r="C1" s="3" cm="1">
        <f t="array" ref="C1">SUMPRODUCT(C3:C15*B3:B15)/B1</f>
        <v>256.279787524899</v>
      </c>
      <c r="D1" s="4" cm="1">
        <f t="array" ref="D1">SUMPRODUCT(B3:B23*D3:D23)/B1</f>
        <v>4.95604811936101</v>
      </c>
      <c r="E1" s="3" cm="1">
        <f t="array" ref="E1">SUMPRODUCT(B3:B23*E3:E23)/B1</f>
        <v>79.2863101980237</v>
      </c>
      <c r="F1" s="3" cm="1">
        <f t="array" ref="F1">SUMPRODUCT(B3:B23*F3:F23)/B1</f>
        <v>92.9084794750615</v>
      </c>
      <c r="I1" s="116">
        <v>122</v>
      </c>
      <c r="J1" s="2">
        <f>SUM(J3:J15)</f>
        <v>5143.8</v>
      </c>
      <c r="K1" s="3" cm="1">
        <f t="array" ref="K1">SUMPRODUCT(K3:K15*J3:J15)/J1</f>
        <v>216.075352851977</v>
      </c>
      <c r="L1" s="4" cm="1">
        <f t="array" ref="L1">SUMPRODUCT(J3:J23*L3:L23)/J1</f>
        <v>4.96884443407597</v>
      </c>
      <c r="M1" s="3" cm="1">
        <f t="array" ref="M1">SUMPRODUCT(J3:J23*M3:M23)/J1</f>
        <v>79.5296473424317</v>
      </c>
      <c r="N1" s="3" cm="1">
        <f t="array" ref="N1">SUMPRODUCT(J3:J23*N3:N23)/J1</f>
        <v>93.6086200863175</v>
      </c>
    </row>
    <row r="2" ht="16.5" spans="1:15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I2" s="6"/>
      <c r="J2" s="6" t="s">
        <v>0</v>
      </c>
      <c r="K2" s="6" t="s">
        <v>1</v>
      </c>
      <c r="L2" s="6" t="s">
        <v>2</v>
      </c>
      <c r="M2" s="6" t="s">
        <v>3</v>
      </c>
      <c r="N2" s="6" t="s">
        <v>4</v>
      </c>
    </row>
    <row r="3" ht="16.5" spans="1:15">
      <c r="A3" s="39" t="s">
        <v>192</v>
      </c>
      <c r="B3" s="9">
        <v>493.2</v>
      </c>
      <c r="C3" s="10">
        <v>215.9</v>
      </c>
      <c r="D3" s="11">
        <v>5.24</v>
      </c>
      <c r="E3" s="12">
        <v>60.1</v>
      </c>
      <c r="F3" s="12">
        <v>83.1</v>
      </c>
      <c r="I3" s="39" t="s">
        <v>193</v>
      </c>
      <c r="J3" s="9">
        <v>536</v>
      </c>
      <c r="K3" s="10">
        <v>231.1</v>
      </c>
      <c r="L3" s="11">
        <v>5.22</v>
      </c>
      <c r="M3" s="12">
        <v>86.5</v>
      </c>
      <c r="N3" s="12">
        <v>96.7</v>
      </c>
      <c r="O3" s="34">
        <v>25010298</v>
      </c>
    </row>
    <row r="4" ht="16.5" spans="1:15">
      <c r="A4" s="39" t="s">
        <v>194</v>
      </c>
      <c r="B4" s="9">
        <v>495.8</v>
      </c>
      <c r="C4" s="10">
        <v>216</v>
      </c>
      <c r="D4" s="11">
        <v>5.24</v>
      </c>
      <c r="E4" s="12">
        <v>60.1</v>
      </c>
      <c r="F4" s="12">
        <v>83.2</v>
      </c>
      <c r="I4" s="39" t="s">
        <v>195</v>
      </c>
      <c r="J4" s="9">
        <v>540.8</v>
      </c>
      <c r="K4" s="10">
        <v>228.2</v>
      </c>
      <c r="L4" s="11">
        <v>5.27</v>
      </c>
      <c r="M4" s="12">
        <v>85.1</v>
      </c>
      <c r="N4" s="12">
        <v>96.1</v>
      </c>
      <c r="O4" s="34">
        <v>25010299</v>
      </c>
    </row>
    <row r="5" ht="16.5" spans="1:15">
      <c r="A5" s="39" t="s">
        <v>196</v>
      </c>
      <c r="B5" s="9">
        <v>342</v>
      </c>
      <c r="C5" s="10">
        <v>208.9</v>
      </c>
      <c r="D5" s="11">
        <v>5.22</v>
      </c>
      <c r="E5" s="12">
        <v>59.3</v>
      </c>
      <c r="F5" s="12">
        <v>82.6</v>
      </c>
      <c r="I5" s="39" t="s">
        <v>197</v>
      </c>
      <c r="J5" s="9">
        <v>528.6</v>
      </c>
      <c r="K5" s="10">
        <v>227.5</v>
      </c>
      <c r="L5" s="11">
        <v>5.27</v>
      </c>
      <c r="M5" s="12">
        <v>84.2</v>
      </c>
      <c r="N5" s="12">
        <v>94.9</v>
      </c>
      <c r="O5" s="34">
        <v>25010300</v>
      </c>
    </row>
    <row r="6" ht="16.5" spans="1:15">
      <c r="A6" s="39" t="s">
        <v>198</v>
      </c>
      <c r="B6" s="9">
        <v>439</v>
      </c>
      <c r="C6" s="10">
        <v>266.3</v>
      </c>
      <c r="D6" s="11">
        <v>4.63</v>
      </c>
      <c r="E6" s="12">
        <v>76.6</v>
      </c>
      <c r="F6" s="12">
        <v>92.5</v>
      </c>
      <c r="I6" s="39" t="s">
        <v>199</v>
      </c>
      <c r="J6" s="9">
        <v>540.4</v>
      </c>
      <c r="K6" s="10">
        <v>213.1</v>
      </c>
      <c r="L6" s="11">
        <v>5.27</v>
      </c>
      <c r="M6" s="12">
        <v>77.2</v>
      </c>
      <c r="N6" s="12">
        <v>92.5</v>
      </c>
      <c r="O6" s="34">
        <v>25010301</v>
      </c>
    </row>
    <row r="7" ht="16.5" spans="1:15">
      <c r="A7" s="39" t="s">
        <v>200</v>
      </c>
      <c r="B7" s="9">
        <v>556</v>
      </c>
      <c r="C7" s="10">
        <v>273.1</v>
      </c>
      <c r="D7" s="11">
        <v>4.66</v>
      </c>
      <c r="E7" s="12">
        <v>86.9</v>
      </c>
      <c r="F7" s="12">
        <v>96.6</v>
      </c>
      <c r="I7" s="68" t="s">
        <v>201</v>
      </c>
      <c r="J7" s="9">
        <v>526.4</v>
      </c>
      <c r="K7" s="10">
        <v>209.3</v>
      </c>
      <c r="L7" s="11">
        <v>5.22</v>
      </c>
      <c r="M7" s="12">
        <v>75.4</v>
      </c>
      <c r="N7" s="12">
        <v>91.6</v>
      </c>
      <c r="O7" s="34">
        <v>25010302</v>
      </c>
    </row>
    <row r="8" ht="16.5" spans="1:15">
      <c r="A8" s="39" t="s">
        <v>202</v>
      </c>
      <c r="B8" s="9">
        <v>503.6</v>
      </c>
      <c r="C8" s="10">
        <v>287.4</v>
      </c>
      <c r="D8" s="11">
        <v>4.82</v>
      </c>
      <c r="E8" s="12">
        <v>89.1</v>
      </c>
      <c r="F8" s="12">
        <v>97.9</v>
      </c>
      <c r="I8" s="68" t="s">
        <v>203</v>
      </c>
      <c r="J8" s="9">
        <v>416.2</v>
      </c>
      <c r="K8" s="10">
        <v>191.1</v>
      </c>
      <c r="L8" s="11">
        <v>4.97</v>
      </c>
      <c r="M8" s="12">
        <v>75.3</v>
      </c>
      <c r="N8" s="12">
        <v>91.3</v>
      </c>
      <c r="O8" s="34">
        <v>25010303</v>
      </c>
    </row>
    <row r="9" ht="16.5" spans="1:15">
      <c r="A9" s="39" t="s">
        <v>204</v>
      </c>
      <c r="B9" s="9">
        <v>488.2</v>
      </c>
      <c r="C9" s="10">
        <v>281.1</v>
      </c>
      <c r="D9" s="11">
        <v>4.94</v>
      </c>
      <c r="E9" s="12">
        <v>91.5</v>
      </c>
      <c r="F9" s="12">
        <v>98.5</v>
      </c>
      <c r="I9" s="68" t="s">
        <v>205</v>
      </c>
      <c r="J9" s="9">
        <v>505.2</v>
      </c>
      <c r="K9" s="10">
        <v>157.3</v>
      </c>
      <c r="L9" s="11">
        <v>4.17</v>
      </c>
      <c r="M9" s="12">
        <v>64.3</v>
      </c>
      <c r="N9" s="12">
        <v>87.4</v>
      </c>
      <c r="O9" s="34">
        <v>24120473</v>
      </c>
    </row>
    <row r="10" ht="16.5" spans="1:15">
      <c r="A10" s="39" t="s">
        <v>206</v>
      </c>
      <c r="B10" s="9">
        <v>201.4</v>
      </c>
      <c r="C10" s="10">
        <v>271.1</v>
      </c>
      <c r="D10" s="11">
        <v>4.86</v>
      </c>
      <c r="E10" s="12">
        <v>87.8</v>
      </c>
      <c r="F10" s="12">
        <v>96.5</v>
      </c>
      <c r="I10" s="68" t="s">
        <v>207</v>
      </c>
      <c r="J10" s="9">
        <v>444.2</v>
      </c>
      <c r="K10" s="10">
        <v>158</v>
      </c>
      <c r="L10" s="11">
        <v>4.15</v>
      </c>
      <c r="M10" s="12">
        <v>63.7</v>
      </c>
      <c r="N10" s="12">
        <v>87.1</v>
      </c>
      <c r="O10" s="34">
        <v>24120474</v>
      </c>
    </row>
    <row r="11" ht="16.5" spans="1:15">
      <c r="A11" s="39" t="s">
        <v>208</v>
      </c>
      <c r="B11" s="9">
        <v>175.6</v>
      </c>
      <c r="C11" s="10">
        <v>262.7</v>
      </c>
      <c r="D11" s="11">
        <v>4.72</v>
      </c>
      <c r="E11" s="12">
        <v>84.6</v>
      </c>
      <c r="F11" s="12">
        <v>96.5</v>
      </c>
      <c r="I11" s="68" t="s">
        <v>209</v>
      </c>
      <c r="J11" s="9">
        <v>310</v>
      </c>
      <c r="K11" s="10">
        <v>250.8</v>
      </c>
      <c r="L11" s="11">
        <v>4.89</v>
      </c>
      <c r="M11" s="12">
        <v>91.4</v>
      </c>
      <c r="N11" s="12">
        <v>98.6</v>
      </c>
      <c r="O11" s="34">
        <v>25010153</v>
      </c>
    </row>
    <row r="12" ht="16.5" spans="1:15">
      <c r="A12" s="39" t="s">
        <v>210</v>
      </c>
      <c r="B12" s="9">
        <v>309.4</v>
      </c>
      <c r="C12" s="10">
        <v>283.5</v>
      </c>
      <c r="D12" s="11">
        <v>4.82</v>
      </c>
      <c r="E12" s="12">
        <v>91.1</v>
      </c>
      <c r="F12" s="12">
        <v>98</v>
      </c>
      <c r="I12" s="68" t="s">
        <v>211</v>
      </c>
      <c r="J12" s="9">
        <v>288</v>
      </c>
      <c r="K12" s="10">
        <v>243.8</v>
      </c>
      <c r="L12" s="11">
        <v>5.81</v>
      </c>
      <c r="M12" s="12">
        <v>86.5</v>
      </c>
      <c r="N12" s="12">
        <v>97</v>
      </c>
      <c r="O12" s="34">
        <v>24120627</v>
      </c>
    </row>
    <row r="13" ht="16.5" spans="1:15">
      <c r="A13" s="39" t="s">
        <v>212</v>
      </c>
      <c r="B13" s="9">
        <v>227.6</v>
      </c>
      <c r="C13" s="10">
        <v>268.8</v>
      </c>
      <c r="D13" s="11">
        <v>4.8</v>
      </c>
      <c r="E13" s="12">
        <v>87.9</v>
      </c>
      <c r="F13" s="12">
        <v>96.8</v>
      </c>
      <c r="I13" s="39" t="s">
        <v>213</v>
      </c>
      <c r="J13" s="9">
        <v>508</v>
      </c>
      <c r="K13" s="10">
        <v>278.4</v>
      </c>
      <c r="L13" s="11">
        <v>4.57</v>
      </c>
      <c r="M13" s="12">
        <v>89.4</v>
      </c>
      <c r="N13" s="12">
        <v>98.4</v>
      </c>
      <c r="O13" s="9">
        <v>24110292</v>
      </c>
    </row>
    <row r="14" ht="16.5" spans="1:15">
      <c r="A14" s="39" t="s">
        <v>214</v>
      </c>
      <c r="B14" s="9">
        <v>378.2</v>
      </c>
      <c r="C14" s="10">
        <v>218</v>
      </c>
      <c r="D14" s="11">
        <v>5.27</v>
      </c>
      <c r="E14" s="12">
        <v>73.5</v>
      </c>
      <c r="F14" s="12">
        <v>91.7</v>
      </c>
    </row>
    <row r="15" ht="16.5" spans="1:15">
      <c r="A15" s="39" t="s">
        <v>215</v>
      </c>
      <c r="B15" s="9">
        <v>510.6</v>
      </c>
      <c r="C15" s="10">
        <v>283</v>
      </c>
      <c r="D15" s="11">
        <v>5.02</v>
      </c>
      <c r="E15" s="12">
        <v>90.6</v>
      </c>
      <c r="F15" s="12">
        <v>98.2</v>
      </c>
    </row>
    <row r="27" ht="16.5" spans="1:7">
      <c r="A27" s="116">
        <v>123</v>
      </c>
      <c r="B27" s="2">
        <f>SUM(B29:B49)</f>
        <v>5121.6</v>
      </c>
      <c r="C27" s="3" cm="1">
        <f t="array" ref="C27">SUMPRODUCT(C29:C49*B29:B49)/B27</f>
        <v>217.640620118713</v>
      </c>
      <c r="D27" s="4" cm="1">
        <f t="array" ref="D27">SUMPRODUCT(B29:B49*D29:D49)/B27</f>
        <v>4.96399718837863</v>
      </c>
      <c r="E27" s="3" cm="1">
        <f t="array" ref="E27">SUMPRODUCT(B29:B49*E29:E49)/B27</f>
        <v>78.6902452358638</v>
      </c>
      <c r="F27" s="3" cm="1">
        <f t="array" ref="F27">SUMPRODUCT(B29:B49*F29:F49)/B27</f>
        <v>92.6568259918776</v>
      </c>
    </row>
    <row r="28" ht="16.5" spans="1:7">
      <c r="A28" s="6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</row>
    <row r="29" ht="16.5" spans="1:7">
      <c r="A29" s="39" t="s">
        <v>216</v>
      </c>
      <c r="B29" s="9">
        <v>195.2</v>
      </c>
      <c r="C29" s="10">
        <v>174.8</v>
      </c>
      <c r="D29" s="11">
        <v>4.63</v>
      </c>
      <c r="E29" s="12">
        <v>75.8</v>
      </c>
      <c r="F29" s="12">
        <v>91.7</v>
      </c>
      <c r="G29" s="34">
        <v>25010304</v>
      </c>
    </row>
    <row r="30" ht="16.5" spans="1:7">
      <c r="A30" s="39" t="s">
        <v>217</v>
      </c>
      <c r="B30" s="9">
        <v>460.2</v>
      </c>
      <c r="C30" s="10">
        <v>165.8</v>
      </c>
      <c r="D30" s="11">
        <v>4.57</v>
      </c>
      <c r="E30" s="12">
        <v>75.9</v>
      </c>
      <c r="F30" s="12">
        <v>91.6</v>
      </c>
      <c r="G30" s="34">
        <v>25010305</v>
      </c>
    </row>
    <row r="31" ht="16.5" spans="1:7">
      <c r="A31" s="39" t="s">
        <v>218</v>
      </c>
      <c r="B31" s="9">
        <v>275.8</v>
      </c>
      <c r="C31" s="10">
        <v>167.9</v>
      </c>
      <c r="D31" s="11">
        <v>4.61</v>
      </c>
      <c r="E31" s="12">
        <v>75.8</v>
      </c>
      <c r="F31" s="12">
        <v>91.5</v>
      </c>
      <c r="G31" s="34">
        <v>25010306</v>
      </c>
    </row>
    <row r="32" ht="16.5" spans="1:7">
      <c r="A32" s="39" t="s">
        <v>219</v>
      </c>
      <c r="B32" s="9">
        <v>522.6</v>
      </c>
      <c r="C32" s="10">
        <v>257.7</v>
      </c>
      <c r="D32" s="11">
        <v>5.11</v>
      </c>
      <c r="E32" s="12">
        <v>91.2</v>
      </c>
      <c r="F32" s="12">
        <v>98.5</v>
      </c>
      <c r="G32" s="34">
        <v>25010295</v>
      </c>
    </row>
    <row r="33" ht="16.5" spans="1:7">
      <c r="A33" s="39" t="s">
        <v>220</v>
      </c>
      <c r="B33" s="9">
        <v>382.4</v>
      </c>
      <c r="C33" s="10">
        <v>249.3</v>
      </c>
      <c r="D33" s="11">
        <v>5.16</v>
      </c>
      <c r="E33" s="12">
        <v>90.9</v>
      </c>
      <c r="F33" s="12">
        <v>98.4</v>
      </c>
      <c r="G33" s="34">
        <v>25010296</v>
      </c>
    </row>
    <row r="34" ht="16.5" spans="1:7">
      <c r="A34" s="39" t="s">
        <v>221</v>
      </c>
      <c r="B34" s="9">
        <v>537.6</v>
      </c>
      <c r="C34" s="10">
        <v>169.3</v>
      </c>
      <c r="D34" s="11">
        <v>4.23</v>
      </c>
      <c r="E34" s="12">
        <v>65.3</v>
      </c>
      <c r="F34" s="12">
        <v>85.3</v>
      </c>
      <c r="G34" s="34">
        <v>25010277</v>
      </c>
    </row>
    <row r="35" ht="16.5" spans="1:7">
      <c r="A35" s="39" t="s">
        <v>222</v>
      </c>
      <c r="B35" s="9">
        <v>545.6</v>
      </c>
      <c r="C35" s="10">
        <v>238.3</v>
      </c>
      <c r="D35" s="11">
        <v>5.3</v>
      </c>
      <c r="E35" s="12">
        <v>79.1</v>
      </c>
      <c r="F35" s="12">
        <v>93.4</v>
      </c>
      <c r="G35" s="34">
        <v>25010243</v>
      </c>
    </row>
    <row r="36" ht="16.5" spans="1:7">
      <c r="A36" s="39" t="s">
        <v>223</v>
      </c>
      <c r="B36" s="9">
        <v>227.8</v>
      </c>
      <c r="C36" s="10">
        <v>234.6</v>
      </c>
      <c r="D36" s="11">
        <v>5.49</v>
      </c>
      <c r="E36" s="12">
        <v>76.7</v>
      </c>
      <c r="F36" s="12">
        <v>92</v>
      </c>
      <c r="G36" s="34">
        <v>25010244</v>
      </c>
    </row>
    <row r="37" ht="16.5" spans="1:7">
      <c r="A37" s="39" t="s">
        <v>224</v>
      </c>
      <c r="B37" s="9">
        <v>497.6</v>
      </c>
      <c r="C37" s="10">
        <v>240.6</v>
      </c>
      <c r="D37" s="11">
        <v>5.35</v>
      </c>
      <c r="E37" s="12">
        <v>79.6</v>
      </c>
      <c r="F37" s="12">
        <v>93</v>
      </c>
      <c r="G37" s="34">
        <v>25010218</v>
      </c>
    </row>
    <row r="38" ht="16.5" spans="1:7">
      <c r="A38" s="39" t="s">
        <v>225</v>
      </c>
      <c r="B38" s="9">
        <v>440</v>
      </c>
      <c r="C38" s="10">
        <v>243</v>
      </c>
      <c r="D38" s="11">
        <v>5.38</v>
      </c>
      <c r="E38" s="12">
        <v>78</v>
      </c>
      <c r="F38" s="12">
        <v>92.5</v>
      </c>
      <c r="G38" s="34">
        <v>25010219</v>
      </c>
    </row>
    <row r="39" ht="16.5" spans="1:7">
      <c r="A39" s="39" t="s">
        <v>226</v>
      </c>
      <c r="B39" s="9">
        <v>512.4</v>
      </c>
      <c r="C39" s="10">
        <v>186.8</v>
      </c>
      <c r="D39" s="11">
        <v>4.75</v>
      </c>
      <c r="E39" s="12">
        <v>64</v>
      </c>
      <c r="F39" s="12">
        <v>85.9</v>
      </c>
      <c r="G39" s="34">
        <v>24120574</v>
      </c>
    </row>
    <row r="40" ht="16.5" spans="1:7">
      <c r="A40" s="39" t="s">
        <v>227</v>
      </c>
      <c r="B40" s="9">
        <v>524.4</v>
      </c>
      <c r="C40" s="10">
        <v>250</v>
      </c>
      <c r="D40" s="11">
        <v>5</v>
      </c>
      <c r="E40" s="12">
        <v>90.6</v>
      </c>
      <c r="F40" s="12">
        <v>98</v>
      </c>
      <c r="G40" s="34">
        <v>24120562</v>
      </c>
    </row>
  </sheetData>
  <conditionalFormatting sqref="A1:A2">
    <cfRule type="duplicateValues" dxfId="0" priority="4"/>
  </conditionalFormatting>
  <conditionalFormatting sqref="A27:A28">
    <cfRule type="duplicateValues" dxfId="0" priority="1"/>
  </conditionalFormatting>
  <conditionalFormatting sqref="I1:I2">
    <cfRule type="duplicateValues" dxfId="0" priority="2"/>
  </conditionalFormatting>
  <dataValidations count="1">
    <dataValidation allowBlank="1" showInputMessage="1" showErrorMessage="1" sqref="C3:C5 C37:C38 B29:C36 B39:C40 B6:C15 J3:K13"/>
  </dataValidation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workbookViewId="0">
      <selection activeCell="E26" sqref="E26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</cols>
  <sheetData>
    <row r="1" ht="16.5" spans="1:16">
      <c r="A1" s="116">
        <v>124</v>
      </c>
      <c r="B1" s="2">
        <f>SUM(B3:B23)</f>
        <v>5181.4</v>
      </c>
      <c r="C1" s="3" cm="1">
        <f t="array" ref="C1">SUMPRODUCT(C3:C23*B3:B23)/B1</f>
        <v>99.8158374184583</v>
      </c>
      <c r="D1" s="4" cm="1">
        <f t="array" ref="D1">SUMPRODUCT(B3:B23*D3:D23)/B1</f>
        <v>2.78298336356969</v>
      </c>
      <c r="E1" s="3" cm="1">
        <f t="array" ref="E1">SUMPRODUCT(B3:B23*E3:E23)/B1</f>
        <v>67.9966649940171</v>
      </c>
      <c r="F1" s="3" cm="1">
        <f t="array" ref="F1">SUMPRODUCT(B3:B23*F3:F23)/B1</f>
        <v>88.5985409348825</v>
      </c>
      <c r="J1" s="116">
        <v>125</v>
      </c>
      <c r="K1" s="2">
        <f>SUM(K3:K23)</f>
        <v>4594.2</v>
      </c>
      <c r="L1" s="3" cm="1">
        <f t="array" ref="L1">SUMPRODUCT(L3:L23*K3:K23)/K1</f>
        <v>97.9951895868704</v>
      </c>
      <c r="M1" s="4" cm="1">
        <f t="array" ref="M1">SUMPRODUCT(K3:K23*M3:M23)/K1</f>
        <v>2.72829219450612</v>
      </c>
      <c r="N1" s="3" cm="1">
        <f t="array" ref="N1">SUMPRODUCT(K3:K23*N3:N23)/K1</f>
        <v>68.3972791780941</v>
      </c>
      <c r="O1" s="3" cm="1">
        <f t="array" ref="O1">SUMPRODUCT(K3:K23*O3:O23)/K1</f>
        <v>88.2853423882286</v>
      </c>
    </row>
    <row r="2" ht="16.5" spans="1:16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39" t="s">
        <v>228</v>
      </c>
      <c r="B3" s="9">
        <v>506.4</v>
      </c>
      <c r="C3" s="10">
        <v>99.7</v>
      </c>
      <c r="D3" s="11">
        <v>2.74</v>
      </c>
      <c r="E3" s="12">
        <v>59.3</v>
      </c>
      <c r="F3" s="12">
        <v>83.5</v>
      </c>
      <c r="G3" s="34">
        <v>24120615</v>
      </c>
      <c r="J3" s="39" t="s">
        <v>229</v>
      </c>
      <c r="K3" s="9">
        <v>494.2</v>
      </c>
      <c r="L3" s="10">
        <v>146.7</v>
      </c>
      <c r="M3" s="11">
        <v>3.89</v>
      </c>
      <c r="N3" s="12">
        <v>59.5</v>
      </c>
      <c r="O3" s="12">
        <v>84.3</v>
      </c>
      <c r="P3" s="34">
        <v>24120402</v>
      </c>
    </row>
    <row r="4" ht="16.5" spans="1:16">
      <c r="A4" s="39" t="s">
        <v>230</v>
      </c>
      <c r="B4" s="9">
        <v>535.4</v>
      </c>
      <c r="C4" s="10">
        <v>95.5</v>
      </c>
      <c r="D4" s="11">
        <v>2.64</v>
      </c>
      <c r="E4" s="12">
        <v>59.3</v>
      </c>
      <c r="F4" s="12">
        <v>83.6</v>
      </c>
      <c r="G4" s="34">
        <v>24120616</v>
      </c>
      <c r="J4" s="39" t="s">
        <v>231</v>
      </c>
      <c r="K4" s="9">
        <v>537.4</v>
      </c>
      <c r="L4" s="10">
        <v>64.1</v>
      </c>
      <c r="M4" s="11">
        <v>2.38</v>
      </c>
      <c r="N4" s="12">
        <v>63</v>
      </c>
      <c r="O4" s="12">
        <v>84</v>
      </c>
      <c r="P4" s="34">
        <v>23070415</v>
      </c>
    </row>
    <row r="5" ht="16.5" spans="1:16">
      <c r="A5" s="39" t="s">
        <v>232</v>
      </c>
      <c r="B5" s="9">
        <v>398</v>
      </c>
      <c r="C5" s="10">
        <v>79</v>
      </c>
      <c r="D5" s="11">
        <v>2.17</v>
      </c>
      <c r="E5" s="12">
        <v>72.3</v>
      </c>
      <c r="F5" s="12">
        <v>91.6</v>
      </c>
      <c r="G5" s="34">
        <v>25010284</v>
      </c>
      <c r="J5" s="39" t="s">
        <v>233</v>
      </c>
      <c r="K5" s="9">
        <v>414.8</v>
      </c>
      <c r="L5" s="10">
        <v>92.8</v>
      </c>
      <c r="M5" s="11">
        <v>2.61</v>
      </c>
      <c r="N5" s="12">
        <v>49.4</v>
      </c>
      <c r="O5" s="12">
        <v>76.6</v>
      </c>
      <c r="P5" s="34">
        <v>24120382</v>
      </c>
    </row>
    <row r="6" ht="16.5" spans="1:16">
      <c r="A6" s="39" t="s">
        <v>234</v>
      </c>
      <c r="B6" s="9">
        <v>352.8</v>
      </c>
      <c r="C6" s="10">
        <v>76.9</v>
      </c>
      <c r="D6" s="11">
        <v>2.17</v>
      </c>
      <c r="E6" s="12">
        <v>72.4</v>
      </c>
      <c r="F6" s="12">
        <v>91.7</v>
      </c>
      <c r="G6" s="34">
        <v>25010285</v>
      </c>
      <c r="J6" s="39" t="s">
        <v>235</v>
      </c>
      <c r="K6" s="9">
        <v>565.8</v>
      </c>
      <c r="L6" s="10">
        <v>79.3</v>
      </c>
      <c r="M6" s="11">
        <v>1.82</v>
      </c>
      <c r="N6" s="12">
        <v>83.9</v>
      </c>
      <c r="O6" s="12">
        <v>97.3</v>
      </c>
      <c r="P6" s="34">
        <v>24110229</v>
      </c>
    </row>
    <row r="7" ht="16.5" spans="1:16">
      <c r="A7" s="39" t="s">
        <v>236</v>
      </c>
      <c r="B7" s="9">
        <v>498.6</v>
      </c>
      <c r="C7" s="10">
        <v>125</v>
      </c>
      <c r="D7" s="11">
        <v>3.46</v>
      </c>
      <c r="E7" s="12">
        <v>66.6</v>
      </c>
      <c r="F7" s="12">
        <v>87.2</v>
      </c>
      <c r="G7" s="34">
        <v>24120611</v>
      </c>
      <c r="J7" s="39" t="s">
        <v>237</v>
      </c>
      <c r="K7" s="9">
        <v>361.8</v>
      </c>
      <c r="L7" s="10">
        <v>66.4</v>
      </c>
      <c r="M7" s="11">
        <v>1.68</v>
      </c>
      <c r="N7" s="12">
        <v>83.7</v>
      </c>
      <c r="O7" s="12">
        <v>97.3</v>
      </c>
      <c r="P7" s="34">
        <v>24110230</v>
      </c>
    </row>
    <row r="8" ht="16.5" spans="1:16">
      <c r="A8" s="39" t="s">
        <v>238</v>
      </c>
      <c r="B8" s="9">
        <v>547.2</v>
      </c>
      <c r="C8" s="10">
        <v>87.2</v>
      </c>
      <c r="D8" s="11">
        <v>2.44</v>
      </c>
      <c r="E8" s="12">
        <v>70.4</v>
      </c>
      <c r="F8" s="12">
        <v>90.5</v>
      </c>
      <c r="G8" s="34">
        <v>24120502</v>
      </c>
      <c r="J8" s="39" t="s">
        <v>239</v>
      </c>
      <c r="K8" s="9">
        <v>519</v>
      </c>
      <c r="L8" s="10">
        <v>119.8</v>
      </c>
      <c r="M8" s="11">
        <v>3.4</v>
      </c>
      <c r="N8" s="12">
        <v>69.5</v>
      </c>
      <c r="O8" s="12">
        <v>89.2</v>
      </c>
      <c r="P8" s="34">
        <v>24120420</v>
      </c>
    </row>
    <row r="9" ht="16.5" spans="1:16">
      <c r="A9" s="39" t="s">
        <v>240</v>
      </c>
      <c r="B9" s="9">
        <v>423</v>
      </c>
      <c r="C9" s="10">
        <v>114.4</v>
      </c>
      <c r="D9" s="11">
        <v>3.36</v>
      </c>
      <c r="E9" s="12">
        <v>69.2</v>
      </c>
      <c r="F9" s="12">
        <v>88.9</v>
      </c>
      <c r="G9" s="34">
        <v>24120422</v>
      </c>
      <c r="J9" s="39" t="s">
        <v>241</v>
      </c>
      <c r="K9" s="9">
        <v>512.2</v>
      </c>
      <c r="L9" s="10">
        <v>118.6</v>
      </c>
      <c r="M9" s="11">
        <v>3.36</v>
      </c>
      <c r="N9" s="12">
        <v>69.9</v>
      </c>
      <c r="O9" s="12">
        <v>89.5</v>
      </c>
      <c r="P9" s="34">
        <v>24120421</v>
      </c>
    </row>
    <row r="10" ht="16.5" spans="1:16">
      <c r="A10" s="39" t="s">
        <v>242</v>
      </c>
      <c r="B10" s="9">
        <v>553.2</v>
      </c>
      <c r="C10" s="10">
        <v>64.8</v>
      </c>
      <c r="D10" s="11">
        <v>1.94</v>
      </c>
      <c r="E10" s="12">
        <v>74.3</v>
      </c>
      <c r="F10" s="12">
        <v>92</v>
      </c>
      <c r="G10" s="34">
        <v>25010201</v>
      </c>
      <c r="J10" s="196"/>
      <c r="K10" s="188">
        <v>1189</v>
      </c>
      <c r="L10" s="188">
        <v>95</v>
      </c>
      <c r="M10" s="188">
        <v>2.63</v>
      </c>
      <c r="N10" s="188">
        <v>68</v>
      </c>
      <c r="O10" s="188">
        <v>88</v>
      </c>
    </row>
    <row r="11" ht="16.5" spans="1:16">
      <c r="A11" s="39" t="s">
        <v>243</v>
      </c>
      <c r="B11" s="9">
        <v>498</v>
      </c>
      <c r="C11" s="10">
        <v>164.9</v>
      </c>
      <c r="D11" s="11">
        <v>4.57</v>
      </c>
      <c r="E11" s="12">
        <v>63.3</v>
      </c>
      <c r="F11" s="12">
        <v>86.8</v>
      </c>
      <c r="G11" s="34">
        <v>24120400</v>
      </c>
    </row>
    <row r="12" ht="16.5" spans="1:16">
      <c r="A12" s="39" t="s">
        <v>244</v>
      </c>
      <c r="B12" s="9">
        <v>569.8</v>
      </c>
      <c r="C12" s="10">
        <v>63.1</v>
      </c>
      <c r="D12" s="11">
        <v>1.8</v>
      </c>
      <c r="E12" s="12">
        <v>72.7</v>
      </c>
      <c r="F12" s="12">
        <v>91.2</v>
      </c>
      <c r="G12" s="34">
        <v>24100238</v>
      </c>
      <c r="J12" s="23"/>
      <c r="K12" s="14"/>
      <c r="L12" s="15"/>
      <c r="M12" s="16"/>
      <c r="N12" s="17"/>
      <c r="O12" s="17"/>
    </row>
    <row r="13" ht="16.5" spans="1:16">
      <c r="A13" s="39" t="s">
        <v>245</v>
      </c>
      <c r="B13" s="9">
        <v>299</v>
      </c>
      <c r="C13" s="10">
        <v>149.3</v>
      </c>
      <c r="D13" s="11">
        <v>3.79</v>
      </c>
      <c r="E13" s="12">
        <v>70.8</v>
      </c>
      <c r="F13" s="12">
        <v>88.7</v>
      </c>
      <c r="G13" s="34">
        <v>25010251</v>
      </c>
    </row>
    <row r="27" ht="16.5" spans="1:7">
      <c r="A27" s="116">
        <v>126</v>
      </c>
      <c r="B27" s="2">
        <f>SUM(B29:B49)</f>
        <v>2070.4</v>
      </c>
      <c r="C27" s="3" cm="1">
        <f t="array" ref="C27">SUMPRODUCT(C29:C49*B29:B49)/B27</f>
        <v>254.634138330757</v>
      </c>
      <c r="D27" s="4" cm="1">
        <f t="array" ref="D27">SUMPRODUCT(B29:B49*D29:D49)/B27</f>
        <v>4.96167986862442</v>
      </c>
      <c r="E27" s="3" cm="1">
        <f t="array" ref="E27">SUMPRODUCT(B29:B49*E29:E49)/B27</f>
        <v>80.2089451313756</v>
      </c>
      <c r="F27" s="3" cm="1">
        <f t="array" ref="F27">SUMPRODUCT(B29:B49*F29:F49)/B27</f>
        <v>93.6119397217929</v>
      </c>
    </row>
    <row r="28" ht="16.5" spans="1:7">
      <c r="A28" s="6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</row>
    <row r="29" ht="16.5" spans="1:7">
      <c r="A29" s="39" t="s">
        <v>246</v>
      </c>
      <c r="B29" s="9">
        <v>182.6</v>
      </c>
      <c r="C29" s="10">
        <v>269.4</v>
      </c>
      <c r="D29" s="11">
        <v>5.22</v>
      </c>
      <c r="E29" s="12">
        <v>81.5</v>
      </c>
      <c r="F29" s="12">
        <v>94.6</v>
      </c>
      <c r="G29" s="34">
        <v>24120406</v>
      </c>
    </row>
    <row r="30" ht="16.5" spans="1:7">
      <c r="A30" s="39" t="s">
        <v>247</v>
      </c>
      <c r="B30" s="9">
        <v>401</v>
      </c>
      <c r="C30" s="10">
        <v>265.8</v>
      </c>
      <c r="D30" s="11">
        <v>5.13</v>
      </c>
      <c r="E30" s="12">
        <v>82.9</v>
      </c>
      <c r="F30" s="12">
        <v>94.8</v>
      </c>
      <c r="G30" s="34">
        <v>24120407</v>
      </c>
    </row>
    <row r="31" ht="16.5" spans="1:7">
      <c r="A31" s="39" t="s">
        <v>248</v>
      </c>
      <c r="B31" s="9">
        <v>509.6</v>
      </c>
      <c r="C31" s="10">
        <v>255.6</v>
      </c>
      <c r="D31" s="11">
        <v>4.91</v>
      </c>
      <c r="E31" s="12">
        <v>83</v>
      </c>
      <c r="F31" s="12">
        <v>95.2</v>
      </c>
      <c r="G31" s="34">
        <v>24120408</v>
      </c>
    </row>
    <row r="32" ht="16.5" spans="1:7">
      <c r="A32" s="39" t="s">
        <v>249</v>
      </c>
      <c r="B32" s="9">
        <v>485.6</v>
      </c>
      <c r="C32" s="10">
        <v>297.7</v>
      </c>
      <c r="D32" s="11">
        <v>4.66</v>
      </c>
      <c r="E32" s="12">
        <v>92.5</v>
      </c>
      <c r="F32" s="12">
        <v>98.4</v>
      </c>
      <c r="G32" s="34">
        <v>24110493</v>
      </c>
    </row>
    <row r="33" ht="16.5" spans="1:7">
      <c r="A33" s="39" t="s">
        <v>250</v>
      </c>
      <c r="B33" s="9">
        <v>491.6</v>
      </c>
      <c r="C33" s="10">
        <v>196.5</v>
      </c>
      <c r="D33" s="11">
        <v>5.08</v>
      </c>
      <c r="E33" s="12">
        <v>62.5</v>
      </c>
      <c r="F33" s="12">
        <v>85.9</v>
      </c>
      <c r="G33" s="34">
        <v>24120443</v>
      </c>
    </row>
  </sheetData>
  <conditionalFormatting sqref="A1:A2">
    <cfRule type="duplicateValues" dxfId="0" priority="3"/>
  </conditionalFormatting>
  <conditionalFormatting sqref="A27:A28">
    <cfRule type="duplicateValues" dxfId="0" priority="1"/>
  </conditionalFormatting>
  <conditionalFormatting sqref="J1:J2">
    <cfRule type="duplicateValues" dxfId="0" priority="2"/>
  </conditionalFormatting>
  <dataValidations count="1">
    <dataValidation allowBlank="1" showInputMessage="1" showErrorMessage="1" sqref="C12 K12:L12 B13:C13 B29:C33 B3:C11 K3:L9"/>
  </dataValidation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127</v>
      </c>
      <c r="B1" s="2">
        <f>SUM(B3:B23)</f>
        <v>5085</v>
      </c>
      <c r="C1" s="3" cm="1">
        <f t="array" ref="C1">SUMPRODUCT(C3:C23*B3:B23)/B1</f>
        <v>217.943052114061</v>
      </c>
      <c r="D1" s="4" cm="1">
        <f t="array" ref="D1">SUMPRODUCT(B3:B23*D3:D23)/B1</f>
        <v>4.97137148475909</v>
      </c>
      <c r="E1" s="3" cm="1">
        <f t="array" ref="E1">SUMPRODUCT(B3:B23*E3:E23)/B1</f>
        <v>77.7900491642084</v>
      </c>
      <c r="F1" s="3" cm="1">
        <f t="array" ref="F1">SUMPRODUCT(B3:B23*F3:F23)/B1</f>
        <v>92.5548279252704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251</v>
      </c>
      <c r="B3" s="9">
        <v>489.6</v>
      </c>
      <c r="C3" s="10">
        <v>187.7</v>
      </c>
      <c r="D3" s="11">
        <v>5.66</v>
      </c>
      <c r="E3" s="12">
        <v>62.8</v>
      </c>
      <c r="F3" s="12">
        <v>86.3</v>
      </c>
      <c r="G3" s="34">
        <v>25010331</v>
      </c>
    </row>
    <row r="4" ht="16.5" spans="1:7">
      <c r="A4" s="39" t="s">
        <v>252</v>
      </c>
      <c r="B4" s="9">
        <v>223</v>
      </c>
      <c r="C4" s="10">
        <v>182.5</v>
      </c>
      <c r="D4" s="11">
        <v>5.66</v>
      </c>
      <c r="E4" s="12">
        <v>62</v>
      </c>
      <c r="F4" s="12">
        <v>85.1</v>
      </c>
      <c r="G4" s="34">
        <v>25010332</v>
      </c>
    </row>
    <row r="5" ht="16.5" spans="1:7">
      <c r="A5" s="39" t="s">
        <v>253</v>
      </c>
      <c r="B5" s="9">
        <v>517.2</v>
      </c>
      <c r="C5" s="10">
        <v>151.3</v>
      </c>
      <c r="D5" s="11">
        <v>4.11</v>
      </c>
      <c r="E5" s="12">
        <v>71.5</v>
      </c>
      <c r="F5" s="12">
        <v>90.6</v>
      </c>
      <c r="G5" s="34">
        <v>25010333</v>
      </c>
    </row>
    <row r="6" ht="16.5" spans="1:7">
      <c r="A6" s="39" t="s">
        <v>254</v>
      </c>
      <c r="B6" s="9">
        <v>483</v>
      </c>
      <c r="C6" s="10">
        <v>150.6</v>
      </c>
      <c r="D6" s="11">
        <v>4.15</v>
      </c>
      <c r="E6" s="12">
        <v>71.1</v>
      </c>
      <c r="F6" s="12">
        <v>90.2</v>
      </c>
      <c r="G6" s="34">
        <v>25010334</v>
      </c>
    </row>
    <row r="7" ht="16.5" spans="1:7">
      <c r="A7" s="39" t="s">
        <v>255</v>
      </c>
      <c r="B7" s="9">
        <v>497.8</v>
      </c>
      <c r="C7" s="10">
        <v>247.6</v>
      </c>
      <c r="D7" s="11">
        <v>4.82</v>
      </c>
      <c r="E7" s="12">
        <v>91</v>
      </c>
      <c r="F7" s="12">
        <v>98.5</v>
      </c>
      <c r="G7" s="34">
        <v>24120389</v>
      </c>
    </row>
    <row r="8" ht="16.5" spans="1:7">
      <c r="A8" s="39" t="s">
        <v>256</v>
      </c>
      <c r="B8" s="9">
        <v>503.2</v>
      </c>
      <c r="C8" s="10">
        <v>268.4</v>
      </c>
      <c r="D8" s="11">
        <v>5.19</v>
      </c>
      <c r="E8" s="12">
        <v>90.9</v>
      </c>
      <c r="F8" s="12">
        <v>98.2</v>
      </c>
      <c r="G8" s="34">
        <v>24120431</v>
      </c>
    </row>
    <row r="9" ht="16.5" spans="1:7">
      <c r="A9" s="39" t="s">
        <v>257</v>
      </c>
      <c r="B9" s="9">
        <v>484.2</v>
      </c>
      <c r="C9" s="10">
        <v>270.8</v>
      </c>
      <c r="D9" s="11">
        <v>5.22</v>
      </c>
      <c r="E9" s="12">
        <v>90.1</v>
      </c>
      <c r="F9" s="12">
        <v>97.5</v>
      </c>
      <c r="G9" s="34">
        <v>24120432</v>
      </c>
    </row>
    <row r="10" ht="16.5" spans="1:7">
      <c r="A10" s="39" t="s">
        <v>258</v>
      </c>
      <c r="B10" s="9">
        <v>292.4</v>
      </c>
      <c r="C10" s="10">
        <v>215.9</v>
      </c>
      <c r="D10" s="11">
        <v>5.3</v>
      </c>
      <c r="E10" s="12">
        <v>68.8</v>
      </c>
      <c r="F10" s="12">
        <v>88.7</v>
      </c>
      <c r="G10" s="34">
        <v>24120546</v>
      </c>
    </row>
    <row r="11" ht="16.5" spans="1:7">
      <c r="A11" s="39" t="s">
        <v>259</v>
      </c>
      <c r="B11" s="9">
        <v>356</v>
      </c>
      <c r="C11" s="10">
        <v>206.2</v>
      </c>
      <c r="D11" s="11">
        <v>5.33</v>
      </c>
      <c r="E11" s="12">
        <v>67.2</v>
      </c>
      <c r="F11" s="12">
        <v>87.3</v>
      </c>
      <c r="G11" s="34">
        <v>25010275</v>
      </c>
    </row>
    <row r="12" ht="16.5" spans="1:7">
      <c r="A12" s="39" t="s">
        <v>260</v>
      </c>
      <c r="B12" s="9">
        <v>511.2</v>
      </c>
      <c r="C12" s="10">
        <v>234.2</v>
      </c>
      <c r="D12" s="11">
        <v>5.3</v>
      </c>
      <c r="E12" s="12">
        <v>72.8</v>
      </c>
      <c r="F12" s="12">
        <v>90</v>
      </c>
      <c r="G12" s="34">
        <v>24120416</v>
      </c>
    </row>
    <row r="13" ht="16.5" spans="1:7">
      <c r="A13" s="39" t="s">
        <v>261</v>
      </c>
      <c r="B13" s="9">
        <v>512.6</v>
      </c>
      <c r="C13" s="10">
        <v>240</v>
      </c>
      <c r="D13" s="11">
        <v>4.57</v>
      </c>
      <c r="E13" s="12">
        <v>89.2</v>
      </c>
      <c r="F13" s="12">
        <v>97.6</v>
      </c>
      <c r="G13" s="34">
        <v>25010185</v>
      </c>
    </row>
    <row r="14" ht="16.5" spans="1:7">
      <c r="A14" s="39" t="s">
        <v>262</v>
      </c>
      <c r="B14" s="9">
        <v>214.8</v>
      </c>
      <c r="C14" s="10">
        <v>260.4</v>
      </c>
      <c r="D14" s="11">
        <v>5.02</v>
      </c>
      <c r="E14" s="12">
        <v>83.9</v>
      </c>
      <c r="F14" s="12">
        <v>94.4</v>
      </c>
      <c r="G14" s="34">
        <v>24120586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3:C6 B7:C14"/>
  </dataValidation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J1" sqref="J$1:R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128</v>
      </c>
      <c r="B1" s="2">
        <f>SUM(B3:B23)</f>
        <v>5169.8</v>
      </c>
      <c r="C1" s="3" cm="1">
        <f t="array" ref="C1">SUMPRODUCT(C3:C23*B3:B23)/B1</f>
        <v>158.803164532477</v>
      </c>
      <c r="D1" s="4" cm="1">
        <f t="array" ref="D1">SUMPRODUCT(B3:B23*D3:D23)/B1</f>
        <v>3.8880800030949</v>
      </c>
      <c r="E1" s="3" cm="1">
        <f t="array" ref="E1">SUMPRODUCT(B3:B23*E3:E23)/B1</f>
        <v>77.6588958953925</v>
      </c>
      <c r="F1" s="3" cm="1">
        <f t="array" ref="F1">SUMPRODUCT(B3:B23*F3:F23)/B1</f>
        <v>93.0658787573987</v>
      </c>
      <c r="G1" s="3" cm="1">
        <f t="array" ref="G1">SUMPRODUCT(B3:B23*G3:G23)/B1</f>
        <v>11.7009907539944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263</v>
      </c>
      <c r="B3" s="9">
        <v>344.6</v>
      </c>
      <c r="C3" s="10">
        <v>102.7</v>
      </c>
      <c r="D3" s="11">
        <v>2.64</v>
      </c>
      <c r="E3" s="12">
        <v>75.6</v>
      </c>
      <c r="F3" s="12">
        <v>92.6</v>
      </c>
      <c r="G3" s="11">
        <v>11.81</v>
      </c>
      <c r="H3" s="34">
        <v>25010144</v>
      </c>
    </row>
    <row r="4" ht="16.5" spans="1:8">
      <c r="A4" s="39" t="s">
        <v>264</v>
      </c>
      <c r="B4" s="9">
        <v>539.6</v>
      </c>
      <c r="C4" s="10">
        <v>99.5</v>
      </c>
      <c r="D4" s="11">
        <v>2.54</v>
      </c>
      <c r="E4" s="12">
        <v>74.1</v>
      </c>
      <c r="F4" s="12">
        <v>92.6</v>
      </c>
      <c r="G4" s="11">
        <v>12.28</v>
      </c>
      <c r="H4" s="34">
        <v>25010174</v>
      </c>
    </row>
    <row r="5" ht="16.5" spans="1:8">
      <c r="A5" s="39" t="s">
        <v>265</v>
      </c>
      <c r="B5" s="9">
        <v>516</v>
      </c>
      <c r="C5" s="10">
        <v>106</v>
      </c>
      <c r="D5" s="11">
        <v>2.7</v>
      </c>
      <c r="E5" s="12">
        <v>79.4</v>
      </c>
      <c r="F5" s="12">
        <v>93.8</v>
      </c>
      <c r="G5" s="11">
        <v>11.5</v>
      </c>
      <c r="H5" s="34">
        <v>25010198</v>
      </c>
    </row>
    <row r="6" ht="16.5" spans="1:8">
      <c r="A6" s="39" t="s">
        <v>266</v>
      </c>
      <c r="B6" s="9">
        <v>522.2</v>
      </c>
      <c r="C6" s="10">
        <v>98.4</v>
      </c>
      <c r="D6" s="11">
        <v>2.54</v>
      </c>
      <c r="E6" s="12">
        <v>80.1</v>
      </c>
      <c r="F6" s="12">
        <v>94.4</v>
      </c>
      <c r="G6" s="11">
        <v>11.63</v>
      </c>
      <c r="H6" s="34">
        <v>25010200</v>
      </c>
    </row>
    <row r="7" ht="16.5" spans="1:8">
      <c r="A7" s="39" t="s">
        <v>267</v>
      </c>
      <c r="B7" s="9">
        <v>240.2</v>
      </c>
      <c r="C7" s="10">
        <v>127.7</v>
      </c>
      <c r="D7" s="11">
        <v>3.21</v>
      </c>
      <c r="E7" s="12">
        <v>73.2</v>
      </c>
      <c r="F7" s="12">
        <v>90.7</v>
      </c>
      <c r="G7" s="11">
        <v>11.31</v>
      </c>
      <c r="H7" s="34">
        <v>25010253</v>
      </c>
    </row>
    <row r="8" ht="16.5" spans="1:8">
      <c r="A8" s="39" t="s">
        <v>268</v>
      </c>
      <c r="B8" s="9">
        <v>471.4</v>
      </c>
      <c r="C8" s="10">
        <v>205.4</v>
      </c>
      <c r="D8" s="11">
        <v>5.35</v>
      </c>
      <c r="E8" s="12">
        <v>61.3</v>
      </c>
      <c r="F8" s="12">
        <v>85</v>
      </c>
      <c r="G8" s="11">
        <v>12.59</v>
      </c>
      <c r="H8" s="34">
        <v>24120494</v>
      </c>
    </row>
    <row r="9" ht="16.5" spans="1:8">
      <c r="A9" s="39" t="s">
        <v>269</v>
      </c>
      <c r="B9" s="9">
        <v>526.2</v>
      </c>
      <c r="C9" s="10">
        <v>141.8</v>
      </c>
      <c r="D9" s="11">
        <v>3.49</v>
      </c>
      <c r="E9" s="12">
        <v>80.1</v>
      </c>
      <c r="F9" s="12">
        <v>94.2</v>
      </c>
      <c r="G9" s="11">
        <v>11</v>
      </c>
      <c r="H9" s="34">
        <v>25010307</v>
      </c>
    </row>
    <row r="10" ht="16.5" spans="1:8">
      <c r="A10" s="39" t="s">
        <v>270</v>
      </c>
      <c r="B10" s="9">
        <v>512.8</v>
      </c>
      <c r="C10" s="10">
        <v>139.7</v>
      </c>
      <c r="D10" s="11">
        <v>3.43</v>
      </c>
      <c r="E10" s="12">
        <v>79.7</v>
      </c>
      <c r="F10" s="12">
        <v>94</v>
      </c>
      <c r="G10" s="11">
        <v>11</v>
      </c>
      <c r="H10" s="34">
        <v>25010308</v>
      </c>
    </row>
    <row r="11" ht="16.5" spans="1:8">
      <c r="A11" s="39" t="s">
        <v>271</v>
      </c>
      <c r="B11" s="9">
        <v>514.6</v>
      </c>
      <c r="C11" s="10">
        <v>239.6</v>
      </c>
      <c r="D11" s="11">
        <v>5.57</v>
      </c>
      <c r="E11" s="12">
        <v>82.5</v>
      </c>
      <c r="F11" s="12">
        <v>94.8</v>
      </c>
      <c r="G11" s="11">
        <v>11.3</v>
      </c>
      <c r="H11" s="34">
        <v>25010353</v>
      </c>
    </row>
    <row r="12" ht="16.5" spans="1:8">
      <c r="A12" s="39" t="s">
        <v>272</v>
      </c>
      <c r="B12" s="9">
        <v>464</v>
      </c>
      <c r="C12" s="10">
        <v>235.5</v>
      </c>
      <c r="D12" s="11">
        <v>4.91</v>
      </c>
      <c r="E12" s="12">
        <v>83</v>
      </c>
      <c r="F12" s="12">
        <v>95.1</v>
      </c>
      <c r="G12" s="11">
        <v>12.71</v>
      </c>
      <c r="H12" s="34">
        <v>24120339</v>
      </c>
    </row>
    <row r="13" ht="16.5" spans="1:8">
      <c r="A13" s="39" t="s">
        <v>273</v>
      </c>
      <c r="B13" s="9">
        <v>518.2</v>
      </c>
      <c r="C13" s="10">
        <v>230.6</v>
      </c>
      <c r="D13" s="11">
        <v>5.92</v>
      </c>
      <c r="E13" s="12">
        <v>81.4</v>
      </c>
      <c r="F13" s="12">
        <v>94.6</v>
      </c>
      <c r="G13" s="11">
        <v>11.57</v>
      </c>
      <c r="H13" s="34">
        <v>25010326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13"/>
  </dataValidations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M23" sqref="M23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131</v>
      </c>
      <c r="B1" s="2">
        <f>SUM(B3:B23)</f>
        <v>5563.8</v>
      </c>
      <c r="C1" s="3" cm="1">
        <f t="array" ref="C1">SUMPRODUCT(C3:C23*B3:B23)/B1</f>
        <v>158.328444588231</v>
      </c>
      <c r="D1" s="4" cm="1">
        <f t="array" ref="D1">SUMPRODUCT(B3:B23*D3:D23)/B1</f>
        <v>3.88163629174305</v>
      </c>
      <c r="E1" s="3" cm="1">
        <f t="array" ref="E1">SUMPRODUCT(B3:B23*E3:E23)/B1</f>
        <v>77.4212588518639</v>
      </c>
      <c r="F1" s="3" cm="1">
        <f t="array" ref="F1">SUMPRODUCT(B3:B23*F3:F23)/B1</f>
        <v>93.6007045544412</v>
      </c>
      <c r="G1" s="3" cm="1">
        <f t="array" ref="G1">SUMPRODUCT(B3:B23*G3:G23)/B1</f>
        <v>11.7744131708545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274</v>
      </c>
      <c r="B3" s="9">
        <v>519</v>
      </c>
      <c r="C3" s="10">
        <v>114.7</v>
      </c>
      <c r="D3" s="11">
        <v>2.93</v>
      </c>
      <c r="E3" s="12">
        <v>73.2</v>
      </c>
      <c r="F3" s="12">
        <v>92.6</v>
      </c>
      <c r="G3" s="11">
        <v>11.52</v>
      </c>
      <c r="H3" s="34">
        <v>25010447</v>
      </c>
    </row>
    <row r="4" ht="16.5" spans="1:8">
      <c r="A4" s="39" t="s">
        <v>275</v>
      </c>
      <c r="B4" s="9">
        <v>511</v>
      </c>
      <c r="C4" s="10">
        <v>113.6</v>
      </c>
      <c r="D4" s="11">
        <v>2.9</v>
      </c>
      <c r="E4" s="12">
        <v>72.9</v>
      </c>
      <c r="F4" s="12">
        <v>92</v>
      </c>
      <c r="G4" s="11">
        <v>11.77</v>
      </c>
      <c r="H4" s="34">
        <v>25010448</v>
      </c>
    </row>
    <row r="5" ht="16.5" spans="1:8">
      <c r="A5" s="39" t="s">
        <v>276</v>
      </c>
      <c r="B5" s="9">
        <v>510.6</v>
      </c>
      <c r="C5" s="10">
        <v>111.7</v>
      </c>
      <c r="D5" s="11">
        <v>2.8</v>
      </c>
      <c r="E5" s="12">
        <v>72.5</v>
      </c>
      <c r="F5" s="12">
        <v>91.9</v>
      </c>
      <c r="G5" s="11">
        <v>11.98</v>
      </c>
      <c r="H5" s="34">
        <v>25010449</v>
      </c>
    </row>
    <row r="6" ht="16.5" spans="1:8">
      <c r="A6" s="39" t="s">
        <v>277</v>
      </c>
      <c r="B6" s="9">
        <v>510.8</v>
      </c>
      <c r="C6" s="10">
        <v>118.2</v>
      </c>
      <c r="D6" s="11">
        <v>3.03</v>
      </c>
      <c r="E6" s="12">
        <v>75.2</v>
      </c>
      <c r="F6" s="12">
        <v>93.1</v>
      </c>
      <c r="G6" s="11">
        <v>11.7</v>
      </c>
      <c r="H6" s="34">
        <v>25010450</v>
      </c>
    </row>
    <row r="7" ht="16.5" spans="1:8">
      <c r="A7" s="39" t="s">
        <v>278</v>
      </c>
      <c r="B7" s="9">
        <v>318</v>
      </c>
      <c r="C7" s="10">
        <v>120.5</v>
      </c>
      <c r="D7" s="11">
        <v>3.12</v>
      </c>
      <c r="E7" s="12">
        <v>76</v>
      </c>
      <c r="F7" s="12">
        <v>93.4</v>
      </c>
      <c r="G7" s="11">
        <v>11.61</v>
      </c>
      <c r="H7" s="34">
        <v>25010451</v>
      </c>
    </row>
    <row r="8" ht="16.5" spans="1:8">
      <c r="A8" s="39" t="s">
        <v>279</v>
      </c>
      <c r="B8" s="9">
        <v>239.8</v>
      </c>
      <c r="C8" s="10">
        <v>121.2</v>
      </c>
      <c r="D8" s="11">
        <v>3.06</v>
      </c>
      <c r="E8" s="12">
        <v>76.8</v>
      </c>
      <c r="F8" s="12">
        <v>93.8</v>
      </c>
      <c r="G8" s="11">
        <v>11.66</v>
      </c>
      <c r="H8" s="34">
        <v>25010452</v>
      </c>
    </row>
    <row r="9" ht="16.5" spans="1:8">
      <c r="A9" s="39" t="s">
        <v>280</v>
      </c>
      <c r="B9" s="9">
        <v>420.6</v>
      </c>
      <c r="C9" s="10">
        <v>121.5</v>
      </c>
      <c r="D9" s="11">
        <v>3.12</v>
      </c>
      <c r="E9" s="12">
        <v>76.6</v>
      </c>
      <c r="F9" s="12">
        <v>93.6</v>
      </c>
      <c r="G9" s="11">
        <v>11.62</v>
      </c>
      <c r="H9" s="34">
        <v>25010453</v>
      </c>
    </row>
    <row r="10" ht="16.5" spans="1:8">
      <c r="A10" s="39" t="s">
        <v>281</v>
      </c>
      <c r="B10" s="9">
        <v>334.2</v>
      </c>
      <c r="C10" s="10">
        <v>175.4</v>
      </c>
      <c r="D10" s="11">
        <v>4.55</v>
      </c>
      <c r="E10" s="12">
        <v>81.1</v>
      </c>
      <c r="F10" s="12">
        <v>95.1</v>
      </c>
      <c r="G10" s="11">
        <v>10.87</v>
      </c>
      <c r="H10" s="34">
        <v>25010442</v>
      </c>
    </row>
    <row r="11" ht="16.5" spans="1:8">
      <c r="A11" s="39" t="s">
        <v>282</v>
      </c>
      <c r="B11" s="9">
        <v>260.4</v>
      </c>
      <c r="C11" s="10">
        <v>169.8</v>
      </c>
      <c r="D11" s="11">
        <v>4.52</v>
      </c>
      <c r="E11" s="12">
        <v>80.9</v>
      </c>
      <c r="F11" s="12">
        <v>94.9</v>
      </c>
      <c r="G11" s="11">
        <v>11.35</v>
      </c>
      <c r="H11" s="34">
        <v>25010443</v>
      </c>
    </row>
    <row r="12" ht="16.5" spans="1:8">
      <c r="A12" s="39" t="s">
        <v>283</v>
      </c>
      <c r="B12" s="9">
        <v>231.2</v>
      </c>
      <c r="C12" s="10">
        <v>164.8</v>
      </c>
      <c r="D12" s="11">
        <v>4.34</v>
      </c>
      <c r="E12" s="12">
        <v>81</v>
      </c>
      <c r="F12" s="12">
        <v>94.9</v>
      </c>
      <c r="G12" s="11">
        <v>11.46</v>
      </c>
      <c r="H12" s="34">
        <v>25010444</v>
      </c>
    </row>
    <row r="13" ht="16.5" spans="1:8">
      <c r="A13" s="39" t="s">
        <v>284</v>
      </c>
      <c r="B13" s="9">
        <v>239.6</v>
      </c>
      <c r="C13" s="10">
        <v>161</v>
      </c>
      <c r="D13" s="11">
        <v>4.31</v>
      </c>
      <c r="E13" s="12">
        <v>80.6</v>
      </c>
      <c r="F13" s="12">
        <v>94.5</v>
      </c>
      <c r="G13" s="11">
        <v>11.47</v>
      </c>
      <c r="H13" s="34">
        <v>25010445</v>
      </c>
    </row>
    <row r="14" ht="16.5" spans="1:8">
      <c r="A14" s="39" t="s">
        <v>285</v>
      </c>
      <c r="B14" s="9">
        <v>521.4</v>
      </c>
      <c r="C14" s="10">
        <v>228.3</v>
      </c>
      <c r="D14" s="11">
        <v>5.6</v>
      </c>
      <c r="E14" s="12">
        <v>79.9</v>
      </c>
      <c r="F14" s="12">
        <v>94.3</v>
      </c>
      <c r="G14" s="11">
        <v>11.54</v>
      </c>
      <c r="H14" s="34">
        <v>25010439</v>
      </c>
    </row>
    <row r="15" ht="16.5" spans="1:8">
      <c r="A15" s="39" t="s">
        <v>286</v>
      </c>
      <c r="B15" s="9">
        <v>480.2</v>
      </c>
      <c r="C15" s="10">
        <v>258.9</v>
      </c>
      <c r="D15" s="11">
        <v>5.16</v>
      </c>
      <c r="E15" s="12">
        <v>90.7</v>
      </c>
      <c r="F15" s="12">
        <v>98</v>
      </c>
      <c r="G15" s="11">
        <v>12.49</v>
      </c>
      <c r="H15" s="34">
        <v>24120189</v>
      </c>
    </row>
    <row r="16" ht="16.5" spans="1:8">
      <c r="A16" s="39" t="s">
        <v>287</v>
      </c>
      <c r="B16" s="9">
        <v>467</v>
      </c>
      <c r="C16" s="10">
        <v>223.9</v>
      </c>
      <c r="D16" s="11">
        <v>5.24</v>
      </c>
      <c r="E16" s="12">
        <v>72.5</v>
      </c>
      <c r="F16" s="12">
        <v>90.7</v>
      </c>
      <c r="G16" s="11">
        <v>12.95</v>
      </c>
      <c r="H16" s="34">
        <v>24120372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16"/>
  </dataValidation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K15" sqref="K15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201</v>
      </c>
      <c r="B1" s="2">
        <f>SUM(B3:B23)</f>
        <v>5045</v>
      </c>
      <c r="C1" s="3" cm="1">
        <f t="array" ref="C1">SUMPRODUCT(C3:C23*B3:B23)/B1</f>
        <v>160.173446977205</v>
      </c>
      <c r="D1" s="4" cm="1">
        <f t="array" ref="D1">SUMPRODUCT(B3:B23*D3:D23)/B1</f>
        <v>3.87541169474727</v>
      </c>
      <c r="E1" s="3" cm="1">
        <f t="array" ref="E1">SUMPRODUCT(B3:B23*E3:E23)/B1</f>
        <v>77.7883448959366</v>
      </c>
      <c r="F1" s="3" cm="1">
        <f t="array" ref="F1">SUMPRODUCT(B3:B23*F3:F23)/B1</f>
        <v>93.7729593657086</v>
      </c>
      <c r="G1" s="3" cm="1">
        <f t="array" ref="G1">SUMPRODUCT(B3:B23*G3:G23)/B1</f>
        <v>11.648807135778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288</v>
      </c>
      <c r="B3" s="9">
        <v>342.4</v>
      </c>
      <c r="C3" s="10">
        <v>113.3</v>
      </c>
      <c r="D3" s="11">
        <v>3.09</v>
      </c>
      <c r="E3" s="12">
        <v>77.2</v>
      </c>
      <c r="F3" s="12">
        <v>94.2</v>
      </c>
      <c r="G3" s="11">
        <v>10.64</v>
      </c>
      <c r="H3" s="34">
        <v>25010590</v>
      </c>
    </row>
    <row r="4" ht="16.5" spans="1:8">
      <c r="A4" s="39" t="s">
        <v>289</v>
      </c>
      <c r="B4" s="9">
        <v>527.4</v>
      </c>
      <c r="C4" s="10">
        <v>106.1</v>
      </c>
      <c r="D4" s="11">
        <v>2.99</v>
      </c>
      <c r="E4" s="12">
        <v>77.7</v>
      </c>
      <c r="F4" s="12">
        <v>94.7</v>
      </c>
      <c r="G4" s="11">
        <v>10.91</v>
      </c>
      <c r="H4" s="34">
        <v>25010591</v>
      </c>
    </row>
    <row r="5" ht="16.5" spans="1:8">
      <c r="A5" s="39" t="s">
        <v>290</v>
      </c>
      <c r="B5" s="9">
        <v>514.4</v>
      </c>
      <c r="C5" s="10">
        <v>102.8</v>
      </c>
      <c r="D5" s="11">
        <v>2.77</v>
      </c>
      <c r="E5" s="12">
        <v>71.8</v>
      </c>
      <c r="F5" s="12">
        <v>91.9</v>
      </c>
      <c r="G5" s="11">
        <v>12.23</v>
      </c>
      <c r="H5" s="34">
        <v>25010592</v>
      </c>
    </row>
    <row r="6" ht="16.5" spans="1:8">
      <c r="A6" s="39" t="s">
        <v>291</v>
      </c>
      <c r="B6" s="9">
        <v>489.4</v>
      </c>
      <c r="C6" s="10">
        <v>101</v>
      </c>
      <c r="D6" s="11">
        <v>2.74</v>
      </c>
      <c r="E6" s="12">
        <v>72</v>
      </c>
      <c r="F6" s="12">
        <v>92.2</v>
      </c>
      <c r="G6" s="11">
        <v>12.56</v>
      </c>
      <c r="H6" s="34">
        <v>25010593</v>
      </c>
    </row>
    <row r="7" ht="16.5" spans="1:8">
      <c r="A7" s="39" t="s">
        <v>292</v>
      </c>
      <c r="B7" s="9">
        <v>256.2</v>
      </c>
      <c r="C7" s="10">
        <v>245.7</v>
      </c>
      <c r="D7" s="11">
        <v>4.38</v>
      </c>
      <c r="E7" s="12">
        <v>87.5</v>
      </c>
      <c r="F7" s="12">
        <v>96.8</v>
      </c>
      <c r="G7" s="11">
        <v>11.46</v>
      </c>
      <c r="H7" s="34">
        <v>25010566</v>
      </c>
    </row>
    <row r="8" ht="16.5" spans="1:8">
      <c r="A8" s="39" t="s">
        <v>293</v>
      </c>
      <c r="B8" s="9">
        <v>383.8</v>
      </c>
      <c r="C8" s="10">
        <v>262.6</v>
      </c>
      <c r="D8" s="11">
        <v>4.52</v>
      </c>
      <c r="E8" s="12">
        <v>89.2</v>
      </c>
      <c r="F8" s="12">
        <v>97.6</v>
      </c>
      <c r="G8" s="11">
        <v>11.8</v>
      </c>
      <c r="H8" s="34">
        <v>25010567</v>
      </c>
    </row>
    <row r="9" ht="16.5" spans="1:8">
      <c r="A9" s="39" t="s">
        <v>294</v>
      </c>
      <c r="B9" s="9">
        <v>493</v>
      </c>
      <c r="C9" s="10">
        <v>169.4</v>
      </c>
      <c r="D9" s="11">
        <v>4.57</v>
      </c>
      <c r="E9" s="12">
        <v>71.6</v>
      </c>
      <c r="F9" s="12">
        <v>90.8</v>
      </c>
      <c r="G9" s="11">
        <v>12.34</v>
      </c>
      <c r="H9" s="34">
        <v>25010557</v>
      </c>
    </row>
    <row r="10" ht="16.5" spans="1:8">
      <c r="A10" s="39" t="s">
        <v>295</v>
      </c>
      <c r="B10" s="9">
        <v>520</v>
      </c>
      <c r="C10" s="10">
        <v>166.3</v>
      </c>
      <c r="D10" s="11">
        <v>4.2</v>
      </c>
      <c r="E10" s="12">
        <v>75</v>
      </c>
      <c r="F10" s="12">
        <v>93.1</v>
      </c>
      <c r="G10" s="11">
        <v>11.48</v>
      </c>
      <c r="H10" s="34">
        <v>25010471</v>
      </c>
    </row>
    <row r="11" ht="16.5" spans="1:8">
      <c r="A11" s="39" t="s">
        <v>296</v>
      </c>
      <c r="B11" s="9">
        <v>469.4</v>
      </c>
      <c r="C11" s="10">
        <v>131.6</v>
      </c>
      <c r="D11" s="11">
        <v>3.36</v>
      </c>
      <c r="E11" s="12">
        <v>76.8</v>
      </c>
      <c r="F11" s="12">
        <v>91.9</v>
      </c>
      <c r="G11" s="11">
        <v>11.18</v>
      </c>
      <c r="H11" s="34">
        <v>25010281</v>
      </c>
    </row>
    <row r="12" ht="16.5" spans="1:8">
      <c r="A12" s="39" t="s">
        <v>297</v>
      </c>
      <c r="B12" s="9">
        <v>533.2</v>
      </c>
      <c r="C12" s="10">
        <v>208.4</v>
      </c>
      <c r="D12" s="11">
        <v>4.91</v>
      </c>
      <c r="E12" s="12">
        <v>81.7</v>
      </c>
      <c r="F12" s="12">
        <v>95.2</v>
      </c>
      <c r="G12" s="11">
        <v>11.53</v>
      </c>
      <c r="H12" s="34">
        <v>25010579</v>
      </c>
    </row>
    <row r="13" ht="16.5" spans="1:8">
      <c r="A13" s="39" t="s">
        <v>298</v>
      </c>
      <c r="B13" s="9">
        <v>515.8</v>
      </c>
      <c r="C13" s="10">
        <v>202.4</v>
      </c>
      <c r="D13" s="11">
        <v>5.16</v>
      </c>
      <c r="E13" s="12">
        <v>82</v>
      </c>
      <c r="F13" s="12">
        <v>95.3</v>
      </c>
      <c r="G13" s="11">
        <v>11.67</v>
      </c>
      <c r="H13" s="34">
        <v>25010580</v>
      </c>
    </row>
    <row r="27" ht="16.5" spans="1:8">
      <c r="A27" s="116">
        <v>202</v>
      </c>
      <c r="B27" s="2">
        <f>SUM(B29:B49)</f>
        <v>5034.4</v>
      </c>
      <c r="C27" s="3" cm="1">
        <f t="array" ref="C27">SUMPRODUCT(C29:C49*B29:B49)/B27</f>
        <v>159.663654060067</v>
      </c>
      <c r="D27" s="4" cm="1">
        <f t="array" ref="D27">SUMPRODUCT(B29:B49*D29:D49)/B27</f>
        <v>3.89759534403305</v>
      </c>
      <c r="E27" s="3" cm="1">
        <f t="array" ref="E27">SUMPRODUCT(B29:B49*E29:E49)/B27</f>
        <v>78.3067733990148</v>
      </c>
      <c r="F27" s="3" cm="1">
        <f t="array" ref="F27">SUMPRODUCT(B29:B49*F29:F49)/B27</f>
        <v>93.9267837279517</v>
      </c>
      <c r="G27" s="3" cm="1">
        <f t="array" ref="G27">SUMPRODUCT(B29:B49*G29:G49)/B27</f>
        <v>11.9235944700461</v>
      </c>
    </row>
    <row r="28" ht="16.5" spans="1:8">
      <c r="A28" s="6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G28" s="6" t="s">
        <v>5</v>
      </c>
    </row>
    <row r="29" ht="16.5" spans="1:8">
      <c r="A29" s="68" t="s">
        <v>299</v>
      </c>
      <c r="B29" s="9">
        <v>514</v>
      </c>
      <c r="C29" s="10">
        <v>145.9</v>
      </c>
      <c r="D29" s="11">
        <v>3.99</v>
      </c>
      <c r="E29" s="12">
        <v>74</v>
      </c>
      <c r="F29" s="12">
        <v>92.2</v>
      </c>
      <c r="G29" s="11">
        <v>12.79</v>
      </c>
      <c r="H29" s="34">
        <v>25010558</v>
      </c>
    </row>
    <row r="30" ht="16.5" spans="1:8">
      <c r="A30" s="68" t="s">
        <v>300</v>
      </c>
      <c r="B30" s="9">
        <v>481.6</v>
      </c>
      <c r="C30" s="10">
        <v>147.6</v>
      </c>
      <c r="D30" s="11">
        <v>4.06</v>
      </c>
      <c r="E30" s="12">
        <v>74.3</v>
      </c>
      <c r="F30" s="12">
        <v>92.5</v>
      </c>
      <c r="G30" s="11">
        <v>12.79</v>
      </c>
      <c r="H30" s="34">
        <v>25010559</v>
      </c>
    </row>
    <row r="31" ht="16.5" spans="1:8">
      <c r="A31" s="68" t="s">
        <v>301</v>
      </c>
      <c r="B31" s="9">
        <v>535.2</v>
      </c>
      <c r="C31" s="10">
        <v>113</v>
      </c>
      <c r="D31" s="11">
        <v>3.06</v>
      </c>
      <c r="E31" s="12">
        <v>79.1</v>
      </c>
      <c r="F31" s="12">
        <v>95.1</v>
      </c>
      <c r="G31" s="11">
        <v>12.04</v>
      </c>
      <c r="H31" s="34">
        <v>25010563</v>
      </c>
    </row>
    <row r="32" ht="16.5" spans="1:8">
      <c r="A32" s="68" t="s">
        <v>302</v>
      </c>
      <c r="B32" s="9">
        <v>545</v>
      </c>
      <c r="C32" s="10">
        <v>111.3</v>
      </c>
      <c r="D32" s="11">
        <v>3.03</v>
      </c>
      <c r="E32" s="12">
        <v>77.8</v>
      </c>
      <c r="F32" s="12">
        <v>94.5</v>
      </c>
      <c r="G32" s="11">
        <v>12.05</v>
      </c>
      <c r="H32" s="34">
        <v>25010564</v>
      </c>
    </row>
    <row r="33" ht="16.5" spans="1:8">
      <c r="A33" s="68" t="s">
        <v>303</v>
      </c>
      <c r="B33" s="9">
        <v>533.6</v>
      </c>
      <c r="C33" s="10">
        <v>110.6</v>
      </c>
      <c r="D33" s="11">
        <v>2.99</v>
      </c>
      <c r="E33" s="12">
        <v>77.2</v>
      </c>
      <c r="F33" s="12">
        <v>94</v>
      </c>
      <c r="G33" s="11">
        <v>12.13</v>
      </c>
      <c r="H33" s="34">
        <v>25010565</v>
      </c>
    </row>
    <row r="34" ht="16.5" spans="1:8">
      <c r="A34" s="68" t="s">
        <v>304</v>
      </c>
      <c r="B34" s="9">
        <v>478.4</v>
      </c>
      <c r="C34" s="10">
        <v>174.7</v>
      </c>
      <c r="D34" s="11">
        <v>5.13</v>
      </c>
      <c r="E34" s="12">
        <v>69.2</v>
      </c>
      <c r="F34" s="12">
        <v>89.2</v>
      </c>
      <c r="G34" s="11">
        <v>11.91</v>
      </c>
      <c r="H34" s="34">
        <v>25010586</v>
      </c>
    </row>
    <row r="35" ht="16.5" spans="1:8">
      <c r="A35" s="68" t="s">
        <v>305</v>
      </c>
      <c r="B35" s="9">
        <v>401.6</v>
      </c>
      <c r="C35" s="10">
        <v>175.4</v>
      </c>
      <c r="D35" s="11">
        <v>5.16</v>
      </c>
      <c r="E35" s="12">
        <v>70.2</v>
      </c>
      <c r="F35" s="12">
        <v>89.9</v>
      </c>
      <c r="G35" s="11">
        <v>11.71</v>
      </c>
      <c r="H35" s="24">
        <v>25010588</v>
      </c>
    </row>
    <row r="36" ht="16.5" spans="1:8">
      <c r="A36" s="68" t="s">
        <v>306</v>
      </c>
      <c r="B36" s="9">
        <v>555</v>
      </c>
      <c r="C36" s="10">
        <v>114.4</v>
      </c>
      <c r="D36" s="11">
        <v>3.12</v>
      </c>
      <c r="E36" s="12">
        <v>76.9</v>
      </c>
      <c r="F36" s="12">
        <v>93.9</v>
      </c>
      <c r="G36" s="11">
        <v>10.79</v>
      </c>
      <c r="H36" s="34">
        <v>25010589</v>
      </c>
    </row>
    <row r="37" ht="16.5" spans="1:8">
      <c r="A37" s="68" t="s">
        <v>307</v>
      </c>
      <c r="B37" s="9">
        <v>486.8</v>
      </c>
      <c r="C37" s="10">
        <v>275</v>
      </c>
      <c r="D37" s="11">
        <v>4.61</v>
      </c>
      <c r="E37" s="12">
        <v>90.4</v>
      </c>
      <c r="F37" s="12">
        <v>97.8</v>
      </c>
      <c r="G37" s="11">
        <v>11.4</v>
      </c>
      <c r="H37" s="34">
        <v>25010455</v>
      </c>
    </row>
    <row r="38" ht="16.5" spans="1:8">
      <c r="A38" s="68" t="s">
        <v>308</v>
      </c>
      <c r="B38" s="9">
        <v>503.2</v>
      </c>
      <c r="C38" s="10">
        <v>250.8</v>
      </c>
      <c r="D38" s="11">
        <v>4.43</v>
      </c>
      <c r="E38" s="12">
        <v>92.4</v>
      </c>
      <c r="F38" s="12">
        <v>99.1</v>
      </c>
      <c r="G38" s="11">
        <v>11.67</v>
      </c>
      <c r="H38" s="34">
        <v>25010544</v>
      </c>
    </row>
    <row r="39" spans="1:8">
      <c r="A39" s="70"/>
    </row>
  </sheetData>
  <conditionalFormatting sqref="A1:A2">
    <cfRule type="duplicateValues" dxfId="0" priority="4"/>
  </conditionalFormatting>
  <conditionalFormatting sqref="A27:A28">
    <cfRule type="duplicateValues" dxfId="0" priority="2"/>
  </conditionalFormatting>
  <dataValidations count="1">
    <dataValidation allowBlank="1" showInputMessage="1" showErrorMessage="1" sqref="B3:C13 B29:C38"/>
  </dataValidation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J1" sqref="J$1:W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204</v>
      </c>
      <c r="B1" s="2">
        <f>SUM(B3:B23)</f>
        <v>5009.8</v>
      </c>
      <c r="C1" s="3" cm="1">
        <f t="array" ref="C1">SUMPRODUCT(C3:C23*B3:B23)/B1</f>
        <v>158.708587169148</v>
      </c>
      <c r="D1" s="4" cm="1">
        <f t="array" ref="D1">SUMPRODUCT(B3:B23*D3:D23)/B1</f>
        <v>3.87785939558465</v>
      </c>
      <c r="E1" s="3" cm="1">
        <f t="array" ref="E1">SUMPRODUCT(B3:B23*E3:E23)/B1</f>
        <v>77.3268074573835</v>
      </c>
      <c r="F1" s="3" cm="1">
        <f t="array" ref="F1">SUMPRODUCT(B3:B23*F3:F23)/B1</f>
        <v>91.8381292666374</v>
      </c>
      <c r="G1" s="3" cm="1">
        <f t="array" ref="G1">SUMPRODUCT(B3:B23*G3:G23)/B1</f>
        <v>11.7160505409398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309</v>
      </c>
      <c r="B3" s="9">
        <v>519</v>
      </c>
      <c r="C3" s="10">
        <v>158.8</v>
      </c>
      <c r="D3" s="11">
        <v>4.23</v>
      </c>
      <c r="E3" s="12">
        <v>78.5</v>
      </c>
      <c r="F3" s="12">
        <v>78.5</v>
      </c>
      <c r="G3" s="11">
        <v>11.43</v>
      </c>
      <c r="H3" s="34">
        <v>25020025</v>
      </c>
    </row>
    <row r="4" ht="16.5" spans="1:8">
      <c r="A4" s="39" t="s">
        <v>310</v>
      </c>
      <c r="B4" s="9">
        <v>524.2</v>
      </c>
      <c r="C4" s="10">
        <v>136.7</v>
      </c>
      <c r="D4" s="11">
        <v>3.49</v>
      </c>
      <c r="E4" s="12">
        <v>75.7</v>
      </c>
      <c r="F4" s="12">
        <v>93.5</v>
      </c>
      <c r="G4" s="11">
        <v>11.68</v>
      </c>
      <c r="H4" s="34">
        <v>25020027</v>
      </c>
    </row>
    <row r="5" ht="16.5" spans="1:8">
      <c r="A5" s="39" t="s">
        <v>311</v>
      </c>
      <c r="B5" s="9">
        <v>541</v>
      </c>
      <c r="C5" s="10">
        <v>113.1</v>
      </c>
      <c r="D5" s="11">
        <v>2.93</v>
      </c>
      <c r="E5" s="12">
        <v>78.5</v>
      </c>
      <c r="F5" s="12">
        <v>94.7</v>
      </c>
      <c r="G5" s="11">
        <v>10.65</v>
      </c>
      <c r="H5" s="34">
        <v>25020028</v>
      </c>
    </row>
    <row r="6" ht="16.5" spans="1:8">
      <c r="A6" s="39" t="s">
        <v>312</v>
      </c>
      <c r="B6" s="9">
        <v>236.2</v>
      </c>
      <c r="C6" s="10">
        <v>111</v>
      </c>
      <c r="D6" s="11">
        <v>2.83</v>
      </c>
      <c r="E6" s="12">
        <v>78.9</v>
      </c>
      <c r="F6" s="12">
        <v>94.9</v>
      </c>
      <c r="G6" s="11">
        <v>10.61</v>
      </c>
      <c r="H6" s="34">
        <v>25020029</v>
      </c>
    </row>
    <row r="7" ht="16.5" spans="1:8">
      <c r="A7" s="39" t="s">
        <v>313</v>
      </c>
      <c r="B7" s="9">
        <v>508.2</v>
      </c>
      <c r="C7" s="10">
        <v>96.7</v>
      </c>
      <c r="D7" s="11">
        <v>2.44</v>
      </c>
      <c r="E7" s="12">
        <v>75.2</v>
      </c>
      <c r="F7" s="12">
        <v>92.7</v>
      </c>
      <c r="G7" s="11">
        <v>10.44</v>
      </c>
      <c r="H7" s="34">
        <v>25020030</v>
      </c>
    </row>
    <row r="8" ht="16.5" spans="1:8">
      <c r="A8" s="39" t="s">
        <v>314</v>
      </c>
      <c r="B8" s="9">
        <v>511.8</v>
      </c>
      <c r="C8" s="10">
        <v>202.7</v>
      </c>
      <c r="D8" s="11">
        <v>5.24</v>
      </c>
      <c r="E8" s="12">
        <v>83.1</v>
      </c>
      <c r="F8" s="12">
        <v>95.9</v>
      </c>
      <c r="G8" s="11">
        <v>11.61</v>
      </c>
      <c r="H8" s="34">
        <v>25010581</v>
      </c>
    </row>
    <row r="9" ht="16.5" spans="1:8">
      <c r="A9" s="39" t="s">
        <v>315</v>
      </c>
      <c r="B9" s="9">
        <v>491.4</v>
      </c>
      <c r="C9" s="10">
        <v>167.5</v>
      </c>
      <c r="D9" s="11">
        <v>4.29</v>
      </c>
      <c r="E9" s="12">
        <v>63.2</v>
      </c>
      <c r="F9" s="12">
        <v>85.9</v>
      </c>
      <c r="G9" s="11">
        <v>12.29</v>
      </c>
      <c r="H9" s="34">
        <v>25010028</v>
      </c>
    </row>
    <row r="10" ht="16.5" spans="1:8">
      <c r="A10" s="39" t="s">
        <v>316</v>
      </c>
      <c r="B10" s="9">
        <v>167.8</v>
      </c>
      <c r="C10" s="10">
        <v>199</v>
      </c>
      <c r="D10" s="11">
        <v>5.08</v>
      </c>
      <c r="E10" s="12">
        <v>79.9</v>
      </c>
      <c r="F10" s="12">
        <v>94.4</v>
      </c>
      <c r="G10" s="11">
        <v>11.05</v>
      </c>
      <c r="H10" s="34">
        <v>25010441</v>
      </c>
    </row>
    <row r="11" ht="16.5" spans="1:8">
      <c r="A11" s="39" t="s">
        <v>317</v>
      </c>
      <c r="B11" s="9">
        <v>502.8</v>
      </c>
      <c r="C11" s="10">
        <v>255.3</v>
      </c>
      <c r="D11" s="11">
        <v>4.82</v>
      </c>
      <c r="E11" s="12">
        <v>84.8</v>
      </c>
      <c r="F11" s="12">
        <v>96.3</v>
      </c>
      <c r="G11" s="11">
        <v>12.43</v>
      </c>
      <c r="H11" s="34">
        <v>24120409</v>
      </c>
    </row>
    <row r="12" ht="16.5" spans="1:8">
      <c r="A12" s="39" t="s">
        <v>318</v>
      </c>
      <c r="B12" s="9">
        <v>486.6</v>
      </c>
      <c r="C12" s="10">
        <v>185.5</v>
      </c>
      <c r="D12" s="11">
        <v>4.43</v>
      </c>
      <c r="E12" s="12">
        <v>79.2</v>
      </c>
      <c r="F12" s="12">
        <v>93.8</v>
      </c>
      <c r="G12" s="11">
        <v>11.63</v>
      </c>
      <c r="H12" s="34">
        <v>25010498</v>
      </c>
    </row>
    <row r="13" ht="16.5" spans="1:8">
      <c r="A13" s="39" t="s">
        <v>319</v>
      </c>
      <c r="B13" s="9">
        <v>520.8</v>
      </c>
      <c r="C13" s="10">
        <v>127.5</v>
      </c>
      <c r="D13" s="11">
        <v>3.24</v>
      </c>
      <c r="E13" s="12">
        <v>75.8</v>
      </c>
      <c r="F13" s="12">
        <v>92.9</v>
      </c>
      <c r="G13" s="11">
        <v>14.06</v>
      </c>
      <c r="H13" s="34">
        <v>24120578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13"/>
  </dataValidation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$1:A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205</v>
      </c>
      <c r="B1" s="2">
        <f>SUM(B3:B23)</f>
        <v>5084.2</v>
      </c>
      <c r="C1" s="3" cm="1">
        <f t="array" ref="C1">SUMPRODUCT(C3:C23*B3:B23)/B1</f>
        <v>159.754765744857</v>
      </c>
      <c r="D1" s="4" cm="1">
        <f t="array" ref="D1">SUMPRODUCT(B3:B23*D3:D23)/B1</f>
        <v>3.91974823964439</v>
      </c>
      <c r="E1" s="3" cm="1">
        <f t="array" ref="E1">SUMPRODUCT(B3:B23*E3:E23)/B1</f>
        <v>77.0085913221352</v>
      </c>
      <c r="F1" s="3" cm="1">
        <f t="array" ref="F1">SUMPRODUCT(B3:B23*F3:F23)/B1</f>
        <v>93.5542110853231</v>
      </c>
      <c r="G1" s="3" cm="1">
        <f t="array" ref="G1">SUMPRODUCT(B3:B23*G3:G23)/B1</f>
        <v>11.8642885803076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320</v>
      </c>
      <c r="B3" s="9">
        <v>532.4</v>
      </c>
      <c r="C3" s="10">
        <v>137.7</v>
      </c>
      <c r="D3" s="11">
        <v>3.55</v>
      </c>
      <c r="E3" s="12">
        <v>75.3</v>
      </c>
      <c r="F3" s="12">
        <v>93.1</v>
      </c>
      <c r="G3" s="11">
        <v>11.55</v>
      </c>
      <c r="H3" s="34">
        <v>25020026</v>
      </c>
    </row>
    <row r="4" ht="16.5" spans="1:8">
      <c r="A4" s="39" t="s">
        <v>321</v>
      </c>
      <c r="B4" s="9">
        <v>506.8</v>
      </c>
      <c r="C4" s="10">
        <v>115.7</v>
      </c>
      <c r="D4" s="11">
        <v>3.03</v>
      </c>
      <c r="E4" s="12">
        <v>78.2</v>
      </c>
      <c r="F4" s="12">
        <v>94.6</v>
      </c>
      <c r="G4" s="11">
        <v>10.57</v>
      </c>
      <c r="H4" s="34">
        <v>25010614</v>
      </c>
    </row>
    <row r="5" ht="16.5" spans="1:8">
      <c r="A5" s="39" t="s">
        <v>322</v>
      </c>
      <c r="B5" s="9">
        <v>501</v>
      </c>
      <c r="C5" s="10">
        <v>92.8</v>
      </c>
      <c r="D5" s="11">
        <v>2.44</v>
      </c>
      <c r="E5" s="12">
        <v>76.6</v>
      </c>
      <c r="F5" s="12">
        <v>94.2</v>
      </c>
      <c r="G5" s="11">
        <v>12.7</v>
      </c>
      <c r="H5" s="34">
        <v>25010535</v>
      </c>
    </row>
    <row r="6" ht="16.5" spans="1:8">
      <c r="A6" s="39" t="s">
        <v>323</v>
      </c>
      <c r="B6" s="9">
        <v>500.2</v>
      </c>
      <c r="C6" s="10">
        <v>113.6</v>
      </c>
      <c r="D6" s="11">
        <v>2.8</v>
      </c>
      <c r="E6" s="12">
        <v>80.1</v>
      </c>
      <c r="F6" s="12">
        <v>95.4</v>
      </c>
      <c r="G6" s="11">
        <v>12.12</v>
      </c>
      <c r="H6" s="34">
        <v>25010533</v>
      </c>
    </row>
    <row r="7" ht="16.5" spans="1:8">
      <c r="A7" s="39" t="s">
        <v>324</v>
      </c>
      <c r="B7" s="9">
        <v>504.4</v>
      </c>
      <c r="C7" s="10">
        <v>207.1</v>
      </c>
      <c r="D7" s="11">
        <v>5</v>
      </c>
      <c r="E7" s="12">
        <v>70.5</v>
      </c>
      <c r="F7" s="12">
        <v>89.8</v>
      </c>
      <c r="G7" s="11">
        <v>11.93</v>
      </c>
      <c r="H7" s="34">
        <v>25010525</v>
      </c>
    </row>
    <row r="8" ht="16.5" spans="1:8">
      <c r="A8" s="39" t="s">
        <v>325</v>
      </c>
      <c r="B8" s="9">
        <v>462.4</v>
      </c>
      <c r="C8" s="10">
        <v>130</v>
      </c>
      <c r="D8" s="11">
        <v>3.31</v>
      </c>
      <c r="E8" s="12">
        <v>75.5</v>
      </c>
      <c r="F8" s="12">
        <v>93.5</v>
      </c>
      <c r="G8" s="11">
        <v>11.76</v>
      </c>
      <c r="H8" s="34">
        <v>25010531</v>
      </c>
    </row>
    <row r="9" ht="16.5" spans="1:8">
      <c r="A9" s="39" t="s">
        <v>326</v>
      </c>
      <c r="B9" s="9">
        <v>268.6</v>
      </c>
      <c r="C9" s="10">
        <v>141.2</v>
      </c>
      <c r="D9" s="11">
        <v>3.21</v>
      </c>
      <c r="E9" s="12">
        <v>77.5</v>
      </c>
      <c r="F9" s="12">
        <v>93.4</v>
      </c>
      <c r="G9" s="11">
        <v>11.17</v>
      </c>
      <c r="H9" s="34">
        <v>25010501</v>
      </c>
    </row>
    <row r="10" ht="16.5" spans="1:8">
      <c r="A10" s="39" t="s">
        <v>327</v>
      </c>
      <c r="B10" s="9">
        <v>321</v>
      </c>
      <c r="C10" s="10">
        <v>203.4</v>
      </c>
      <c r="D10" s="11">
        <v>4.66</v>
      </c>
      <c r="E10" s="12">
        <v>83</v>
      </c>
      <c r="F10" s="12">
        <v>95.3</v>
      </c>
      <c r="G10" s="11">
        <v>11.84</v>
      </c>
      <c r="H10" s="34">
        <v>25010494</v>
      </c>
    </row>
    <row r="11" ht="16.5" spans="1:8">
      <c r="A11" s="39" t="s">
        <v>328</v>
      </c>
      <c r="B11" s="9">
        <v>508</v>
      </c>
      <c r="C11" s="10">
        <v>207.8</v>
      </c>
      <c r="D11" s="11">
        <v>4.57</v>
      </c>
      <c r="E11" s="12">
        <v>83.7</v>
      </c>
      <c r="F11" s="12">
        <v>95.9</v>
      </c>
      <c r="G11" s="11">
        <v>11.52</v>
      </c>
      <c r="H11" s="34">
        <v>25010578</v>
      </c>
    </row>
    <row r="12" ht="16.5" spans="1:8">
      <c r="A12" s="39" t="s">
        <v>329</v>
      </c>
      <c r="B12" s="9">
        <v>463.6</v>
      </c>
      <c r="C12" s="10">
        <v>206.1</v>
      </c>
      <c r="D12" s="11">
        <v>5.33</v>
      </c>
      <c r="E12" s="12">
        <v>76.5</v>
      </c>
      <c r="F12" s="12">
        <v>93.2</v>
      </c>
      <c r="G12" s="11">
        <v>12.26</v>
      </c>
      <c r="H12" s="34">
        <v>25010554</v>
      </c>
    </row>
    <row r="13" ht="16.5" spans="1:8">
      <c r="A13" s="39" t="s">
        <v>330</v>
      </c>
      <c r="B13" s="9">
        <v>515.8</v>
      </c>
      <c r="C13" s="10">
        <v>209.5</v>
      </c>
      <c r="D13" s="11">
        <v>5.19</v>
      </c>
      <c r="E13" s="12">
        <v>72.6</v>
      </c>
      <c r="F13" s="12">
        <v>91.3</v>
      </c>
      <c r="G13" s="11">
        <v>12.79</v>
      </c>
      <c r="H13" s="34">
        <v>25010026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3"/>
  </dataValidation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D16" sqref="D1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206</v>
      </c>
      <c r="B1" s="2">
        <f>SUM(B3:B23)</f>
        <v>600</v>
      </c>
      <c r="C1" s="3" cm="1">
        <f t="array" ref="C1">SUMPRODUCT(C3:C23*B3:B23)/B1</f>
        <v>217.85</v>
      </c>
      <c r="D1" s="4" cm="1">
        <f t="array" ref="D1">SUMPRODUCT(B3:B23*D3:D23)/B1</f>
        <v>4.965</v>
      </c>
      <c r="E1" s="3" cm="1">
        <f t="array" ref="E1">SUMPRODUCT(B3:B23*E3:E23)/B1</f>
        <v>87.45</v>
      </c>
      <c r="F1" s="3" cm="1">
        <f t="array" ref="F1">SUMPRODUCT(B3:B23*F3:F23)/B1</f>
        <v>97.5</v>
      </c>
    </row>
    <row r="2" ht="16.5" spans="1:7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23" t="s">
        <v>331</v>
      </c>
      <c r="B3" s="14">
        <v>300</v>
      </c>
      <c r="C3" s="15">
        <v>211.2</v>
      </c>
      <c r="D3" s="16">
        <v>5.3</v>
      </c>
      <c r="E3" s="17">
        <v>83.8</v>
      </c>
      <c r="F3" s="17">
        <v>96.4</v>
      </c>
      <c r="G3" s="14">
        <v>25010553</v>
      </c>
    </row>
    <row r="4" ht="16.5" spans="1:7">
      <c r="A4" s="23" t="s">
        <v>332</v>
      </c>
      <c r="B4" s="14">
        <v>300</v>
      </c>
      <c r="C4" s="15">
        <v>224.5</v>
      </c>
      <c r="D4" s="16">
        <v>4.63</v>
      </c>
      <c r="E4" s="17">
        <v>91.1</v>
      </c>
      <c r="F4" s="17">
        <v>98.6</v>
      </c>
      <c r="G4" s="14">
        <v>25010602</v>
      </c>
    </row>
    <row r="27" ht="16.5" spans="1:7">
      <c r="A27" s="116">
        <v>206</v>
      </c>
      <c r="B27" s="2">
        <f>SUM(B29:B49)</f>
        <v>600</v>
      </c>
      <c r="C27" s="3" cm="1">
        <f t="array" ref="C27">SUMPRODUCT(C29:C49*B29:B49)/B27</f>
        <v>218.57</v>
      </c>
      <c r="D27" s="4" cm="1">
        <f t="array" ref="D27">SUMPRODUCT(B29:B49*D29:D49)/B27</f>
        <v>4.9505</v>
      </c>
      <c r="E27" s="3" cm="1">
        <f t="array" ref="E27">SUMPRODUCT(B29:B49*E29:E49)/B27</f>
        <v>87.43</v>
      </c>
      <c r="F27" s="3" cm="1">
        <f t="array" ref="F27">SUMPRODUCT(B29:B49*F29:F49)/B27</f>
        <v>97.72</v>
      </c>
    </row>
    <row r="28" ht="16.5" spans="1:7">
      <c r="A28" s="6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</row>
    <row r="29" ht="16.5" spans="1:7">
      <c r="A29" s="23" t="s">
        <v>333</v>
      </c>
      <c r="B29" s="14">
        <v>270</v>
      </c>
      <c r="C29" s="15">
        <v>239.8</v>
      </c>
      <c r="D29" s="16">
        <v>4.89</v>
      </c>
      <c r="E29" s="17">
        <v>90.4</v>
      </c>
      <c r="F29" s="17">
        <v>98.6</v>
      </c>
      <c r="G29" s="14">
        <v>25010548</v>
      </c>
    </row>
    <row r="30" ht="16.5" spans="1:7">
      <c r="A30" s="23" t="s">
        <v>334</v>
      </c>
      <c r="B30" s="14">
        <v>330</v>
      </c>
      <c r="C30" s="15">
        <v>201.2</v>
      </c>
      <c r="D30" s="16">
        <v>5</v>
      </c>
      <c r="E30" s="17">
        <v>85</v>
      </c>
      <c r="F30" s="17">
        <v>97</v>
      </c>
      <c r="G30" s="14">
        <v>25020018</v>
      </c>
    </row>
  </sheetData>
  <conditionalFormatting sqref="A1:A2">
    <cfRule type="duplicateValues" dxfId="0" priority="2"/>
  </conditionalFormatting>
  <conditionalFormatting sqref="A27:A28">
    <cfRule type="duplicateValues" dxfId="0" priority="1"/>
  </conditionalFormatting>
  <dataValidations count="1">
    <dataValidation allowBlank="1" showInputMessage="1" showErrorMessage="1" sqref="B3:C4 B29:C30"/>
  </dataValidation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  <col min="7" max="7" width="9" customWidth="1"/>
    <col min="8" max="8" width="9.375"/>
  </cols>
  <sheetData>
    <row r="1" ht="16.5" spans="1:8">
      <c r="A1" s="116">
        <v>207</v>
      </c>
      <c r="B1" s="2">
        <f>SUM(B3:B23)</f>
        <v>5018</v>
      </c>
      <c r="C1" s="3" cm="1">
        <f t="array" ref="C1">SUMPRODUCT(C3:C23*B3:B23)/B1</f>
        <v>217.805707453169</v>
      </c>
      <c r="D1" s="4" cm="1">
        <f t="array" ref="D1">SUMPRODUCT(B3:B23*D3:D23)/B1</f>
        <v>4.97294141092068</v>
      </c>
      <c r="E1" s="3" cm="1">
        <f t="array" ref="E1">SUMPRODUCT(B3:B23*E3:E23)/B1</f>
        <v>82.3972738142686</v>
      </c>
      <c r="F1" s="3" cm="1">
        <f t="array" ref="F1">SUMPRODUCT(B3:B23*F3:F23)/B1</f>
        <v>95.1246153846154</v>
      </c>
      <c r="G1" s="3" cm="1">
        <f t="array" ref="G1">SUMPRODUCT(B3:B23*G3:G23)/B1</f>
        <v>11.8104352331606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335</v>
      </c>
      <c r="B3" s="9">
        <v>493</v>
      </c>
      <c r="C3" s="10">
        <v>222.1</v>
      </c>
      <c r="D3" s="11">
        <v>5.27</v>
      </c>
      <c r="E3" s="12">
        <v>87</v>
      </c>
      <c r="F3" s="12">
        <v>97.6</v>
      </c>
      <c r="G3" s="36">
        <v>12.34</v>
      </c>
      <c r="H3" s="195">
        <v>25010551</v>
      </c>
    </row>
    <row r="4" ht="16.5" spans="1:8">
      <c r="A4" s="39" t="s">
        <v>336</v>
      </c>
      <c r="B4" s="9">
        <v>481.2</v>
      </c>
      <c r="C4" s="10">
        <v>202.1</v>
      </c>
      <c r="D4" s="11">
        <v>5.33</v>
      </c>
      <c r="E4" s="12">
        <v>72.3</v>
      </c>
      <c r="F4" s="12">
        <v>91</v>
      </c>
      <c r="G4" s="36">
        <v>12.41</v>
      </c>
      <c r="H4" s="195">
        <v>25010555</v>
      </c>
    </row>
    <row r="5" ht="16.5" spans="1:8">
      <c r="A5" s="39" t="s">
        <v>337</v>
      </c>
      <c r="B5" s="9">
        <v>486.2</v>
      </c>
      <c r="C5" s="10">
        <v>201.6</v>
      </c>
      <c r="D5" s="11">
        <v>5.24</v>
      </c>
      <c r="E5" s="12">
        <v>70.3</v>
      </c>
      <c r="F5" s="12">
        <v>90.2</v>
      </c>
      <c r="G5" s="36">
        <v>12.42</v>
      </c>
      <c r="H5" s="195">
        <v>25010556</v>
      </c>
    </row>
    <row r="6" ht="16.5" spans="1:8">
      <c r="A6" s="39" t="s">
        <v>338</v>
      </c>
      <c r="B6" s="9">
        <v>522</v>
      </c>
      <c r="C6" s="10">
        <v>237.4</v>
      </c>
      <c r="D6" s="11">
        <v>4.69</v>
      </c>
      <c r="E6" s="12">
        <v>91.4</v>
      </c>
      <c r="F6" s="12">
        <v>98.8</v>
      </c>
      <c r="G6" s="36">
        <v>11.51</v>
      </c>
      <c r="H6" s="195">
        <v>25010600</v>
      </c>
    </row>
    <row r="7" ht="16.5" spans="1:8">
      <c r="A7" s="39" t="s">
        <v>339</v>
      </c>
      <c r="B7" s="9">
        <v>535.2</v>
      </c>
      <c r="C7" s="10">
        <v>228.1</v>
      </c>
      <c r="D7" s="11">
        <v>4.66</v>
      </c>
      <c r="E7" s="12">
        <v>91.4</v>
      </c>
      <c r="F7" s="12">
        <v>98.8</v>
      </c>
      <c r="G7" s="36">
        <v>11.35</v>
      </c>
      <c r="H7" s="195">
        <v>25010601</v>
      </c>
    </row>
    <row r="8" ht="16.5" spans="1:8">
      <c r="A8" s="39" t="s">
        <v>340</v>
      </c>
      <c r="B8" s="9">
        <v>521.4</v>
      </c>
      <c r="C8" s="10">
        <v>208.9</v>
      </c>
      <c r="D8" s="11">
        <v>4.61</v>
      </c>
      <c r="E8" s="12">
        <v>89.8</v>
      </c>
      <c r="F8" s="12">
        <v>98.4</v>
      </c>
      <c r="G8" s="36">
        <v>11.21</v>
      </c>
      <c r="H8" s="195">
        <v>25010603</v>
      </c>
    </row>
    <row r="9" ht="16.5" spans="1:8">
      <c r="A9" s="39" t="s">
        <v>341</v>
      </c>
      <c r="B9" s="9">
        <v>509.6</v>
      </c>
      <c r="C9" s="10">
        <v>206.7</v>
      </c>
      <c r="D9" s="11">
        <v>4.63</v>
      </c>
      <c r="E9" s="12">
        <v>89.9</v>
      </c>
      <c r="F9" s="12">
        <v>98.4</v>
      </c>
      <c r="G9" s="36">
        <v>11.41</v>
      </c>
      <c r="H9" s="195">
        <v>25010604</v>
      </c>
    </row>
    <row r="10" ht="16.5" spans="1:8">
      <c r="A10" s="39" t="s">
        <v>342</v>
      </c>
      <c r="B10" s="9">
        <v>366.2</v>
      </c>
      <c r="C10" s="10">
        <v>217.4</v>
      </c>
      <c r="D10" s="11">
        <v>5.81</v>
      </c>
      <c r="E10" s="12">
        <v>68.2</v>
      </c>
      <c r="F10" s="12">
        <v>88.7</v>
      </c>
      <c r="G10" s="36">
        <v>12.15</v>
      </c>
      <c r="H10" s="195">
        <v>25010395</v>
      </c>
    </row>
    <row r="11" ht="16.5" spans="1:8">
      <c r="A11" s="39" t="s">
        <v>343</v>
      </c>
      <c r="B11" s="9">
        <v>441.6</v>
      </c>
      <c r="C11" s="10">
        <v>211.8</v>
      </c>
      <c r="D11" s="11">
        <v>5.57</v>
      </c>
      <c r="E11" s="12">
        <v>68.3</v>
      </c>
      <c r="F11" s="12">
        <v>88.5</v>
      </c>
      <c r="G11" s="36">
        <v>11.97</v>
      </c>
      <c r="H11" s="195">
        <v>25010396</v>
      </c>
    </row>
    <row r="12" ht="16.5" spans="1:8">
      <c r="A12" s="39" t="s">
        <v>344</v>
      </c>
      <c r="B12" s="9">
        <v>157.4</v>
      </c>
      <c r="C12" s="10">
        <v>293.4</v>
      </c>
      <c r="D12" s="11">
        <v>4.91</v>
      </c>
      <c r="E12" s="12">
        <v>89.9</v>
      </c>
      <c r="F12" s="12">
        <v>98.5</v>
      </c>
      <c r="G12" s="36">
        <v>12.04</v>
      </c>
      <c r="H12" s="195">
        <v>25010397</v>
      </c>
    </row>
    <row r="13" ht="16.5" spans="1:8">
      <c r="A13" s="39" t="s">
        <v>345</v>
      </c>
      <c r="B13" s="9">
        <v>504.2</v>
      </c>
      <c r="C13" s="10">
        <v>215.4</v>
      </c>
      <c r="D13" s="11">
        <v>4.32</v>
      </c>
      <c r="E13" s="12">
        <v>85.4</v>
      </c>
      <c r="F13" s="12">
        <v>96.4</v>
      </c>
      <c r="G13" s="36">
        <v>11.5</v>
      </c>
      <c r="H13" s="195">
        <v>25010575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3"/>
  </dataValidations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T1" sqref="T$1:W$1048576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</cols>
  <sheetData>
    <row r="1" ht="16.5" spans="1:16">
      <c r="A1" s="116">
        <v>208</v>
      </c>
      <c r="B1" s="2">
        <f>SUM(B3:B23)</f>
        <v>5089.2</v>
      </c>
      <c r="C1" s="3" cm="1">
        <f t="array" ref="C1">SUMPRODUCT(C3:C23*B3:B23)/B1</f>
        <v>177.692096989704</v>
      </c>
      <c r="D1" s="4" cm="1">
        <f t="array" ref="D1">SUMPRODUCT(B3:B23*D3:D23)/B1</f>
        <v>4.08000825277057</v>
      </c>
      <c r="E1" s="3" cm="1">
        <f t="array" ref="E1">SUMPRODUCT(B3:B23*E3:E23)/B1</f>
        <v>78.2420026723257</v>
      </c>
      <c r="F1" s="3" cm="1">
        <f t="array" ref="F1">SUMPRODUCT(B3:B23*F3:F23)/B1</f>
        <v>93.3711113731038</v>
      </c>
      <c r="J1" s="116">
        <v>209</v>
      </c>
      <c r="K1" s="2">
        <f>SUM(K3:K23)</f>
        <v>5069.4</v>
      </c>
      <c r="L1" s="3" cm="1">
        <f t="array" ref="L1">SUMPRODUCT(L3:L23*K3:K23)/K1</f>
        <v>178.992326508068</v>
      </c>
      <c r="M1" s="4" cm="1">
        <f t="array" ref="M1">SUMPRODUCT(K3:K23*M3:M23)/K1</f>
        <v>4.08241724858958</v>
      </c>
      <c r="N1" s="3" cm="1">
        <f t="array" ref="N1">SUMPRODUCT(K3:K23*N3:N23)/K1</f>
        <v>78.4796465064899</v>
      </c>
      <c r="O1" s="3" cm="1">
        <f t="array" ref="O1">SUMPRODUCT(K3:K23*O3:O23)/K1</f>
        <v>93.6823726673768</v>
      </c>
    </row>
    <row r="2" ht="16.5" spans="1:16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39" t="s">
        <v>346</v>
      </c>
      <c r="B3" s="9">
        <v>435.6</v>
      </c>
      <c r="C3" s="10">
        <v>127.2</v>
      </c>
      <c r="D3" s="11">
        <v>3.12</v>
      </c>
      <c r="E3" s="12">
        <v>75.8</v>
      </c>
      <c r="F3" s="12">
        <v>94.2</v>
      </c>
      <c r="G3" s="34">
        <v>25010472</v>
      </c>
      <c r="J3" s="39" t="s">
        <v>347</v>
      </c>
      <c r="K3" s="9">
        <v>500.8</v>
      </c>
      <c r="L3" s="10">
        <v>117.9</v>
      </c>
      <c r="M3" s="11">
        <v>2.93</v>
      </c>
      <c r="N3" s="12">
        <v>74.6</v>
      </c>
      <c r="O3" s="12">
        <v>93.7</v>
      </c>
      <c r="P3" s="34">
        <v>25010474</v>
      </c>
    </row>
    <row r="4" ht="16.5" spans="1:16">
      <c r="A4" s="39" t="s">
        <v>348</v>
      </c>
      <c r="B4" s="9">
        <v>490.2</v>
      </c>
      <c r="C4" s="10">
        <v>131.9</v>
      </c>
      <c r="D4" s="11">
        <v>3.4</v>
      </c>
      <c r="E4" s="12">
        <v>72.8</v>
      </c>
      <c r="F4" s="12">
        <v>92.1</v>
      </c>
      <c r="G4" s="34">
        <v>25010530</v>
      </c>
      <c r="J4" s="39" t="s">
        <v>349</v>
      </c>
      <c r="K4" s="9">
        <v>483.6</v>
      </c>
      <c r="L4" s="10">
        <v>118.4</v>
      </c>
      <c r="M4" s="11">
        <v>2.9</v>
      </c>
      <c r="N4" s="12">
        <v>73.8</v>
      </c>
      <c r="O4" s="12">
        <v>92.9</v>
      </c>
      <c r="P4" s="34">
        <v>24120582</v>
      </c>
    </row>
    <row r="5" ht="16.5" spans="1:16">
      <c r="A5" s="39" t="s">
        <v>350</v>
      </c>
      <c r="B5" s="9">
        <v>517.6</v>
      </c>
      <c r="C5" s="10">
        <v>100.2</v>
      </c>
      <c r="D5" s="11">
        <v>2.44</v>
      </c>
      <c r="E5" s="12">
        <v>73.9</v>
      </c>
      <c r="F5" s="12">
        <v>92.6</v>
      </c>
      <c r="G5" s="34">
        <v>25010505</v>
      </c>
      <c r="J5" s="39" t="s">
        <v>351</v>
      </c>
      <c r="K5" s="9">
        <v>558</v>
      </c>
      <c r="L5" s="10">
        <v>106.1</v>
      </c>
      <c r="M5" s="11">
        <v>2.54</v>
      </c>
      <c r="N5" s="12">
        <v>66.8</v>
      </c>
      <c r="O5" s="12">
        <v>86.9</v>
      </c>
      <c r="P5" s="34">
        <v>25010231</v>
      </c>
    </row>
    <row r="6" ht="16.5" spans="1:16">
      <c r="A6" s="39" t="s">
        <v>352</v>
      </c>
      <c r="B6" s="9">
        <v>489.4</v>
      </c>
      <c r="C6" s="10">
        <v>256.6</v>
      </c>
      <c r="D6" s="11">
        <v>5.05</v>
      </c>
      <c r="E6" s="12">
        <v>83</v>
      </c>
      <c r="F6" s="12">
        <v>95.4</v>
      </c>
      <c r="G6" s="34">
        <v>24120412</v>
      </c>
      <c r="J6" s="39" t="s">
        <v>353</v>
      </c>
      <c r="K6" s="9">
        <v>525.6</v>
      </c>
      <c r="L6" s="10">
        <v>100.8</v>
      </c>
      <c r="M6" s="11">
        <v>2.57</v>
      </c>
      <c r="N6" s="12">
        <v>65.7</v>
      </c>
      <c r="O6" s="12">
        <v>87.8</v>
      </c>
      <c r="P6" s="34">
        <v>25010310</v>
      </c>
    </row>
    <row r="7" ht="16.5" spans="1:16">
      <c r="A7" s="39" t="s">
        <v>354</v>
      </c>
      <c r="B7" s="9">
        <v>504.8</v>
      </c>
      <c r="C7" s="10">
        <v>198.1</v>
      </c>
      <c r="D7" s="11">
        <v>4.97</v>
      </c>
      <c r="E7" s="12">
        <v>70.3</v>
      </c>
      <c r="F7" s="12">
        <v>88.7</v>
      </c>
      <c r="G7" s="34">
        <v>24120573</v>
      </c>
      <c r="J7" s="39" t="s">
        <v>355</v>
      </c>
      <c r="K7" s="9">
        <v>332.4</v>
      </c>
      <c r="L7" s="10">
        <v>247.3</v>
      </c>
      <c r="M7" s="11">
        <v>6.09</v>
      </c>
      <c r="N7" s="12">
        <v>87.1</v>
      </c>
      <c r="O7" s="12">
        <v>97.5</v>
      </c>
      <c r="P7" s="34">
        <v>25010391</v>
      </c>
    </row>
    <row r="8" ht="16.5" spans="1:16">
      <c r="A8" s="39" t="s">
        <v>356</v>
      </c>
      <c r="B8" s="9">
        <v>428.2</v>
      </c>
      <c r="C8" s="10">
        <v>131.7</v>
      </c>
      <c r="D8" s="11">
        <v>3.28</v>
      </c>
      <c r="E8" s="12">
        <v>72.9</v>
      </c>
      <c r="F8" s="12">
        <v>90.2</v>
      </c>
      <c r="G8" s="34">
        <v>25010252</v>
      </c>
      <c r="J8" s="39" t="s">
        <v>357</v>
      </c>
      <c r="K8" s="9">
        <v>382.2</v>
      </c>
      <c r="L8" s="10">
        <v>262.3</v>
      </c>
      <c r="M8" s="11">
        <v>3.7</v>
      </c>
      <c r="N8" s="12">
        <v>90.7</v>
      </c>
      <c r="O8" s="12">
        <v>98</v>
      </c>
      <c r="P8" s="34">
        <v>25020070</v>
      </c>
    </row>
    <row r="9" ht="16.5" spans="1:16">
      <c r="A9" s="39" t="s">
        <v>358</v>
      </c>
      <c r="B9" s="9">
        <v>481.8</v>
      </c>
      <c r="C9" s="10">
        <v>146.9</v>
      </c>
      <c r="D9" s="11">
        <v>3.77</v>
      </c>
      <c r="E9" s="12">
        <v>74.1</v>
      </c>
      <c r="F9" s="12">
        <v>90.4</v>
      </c>
      <c r="G9" s="34">
        <v>25010279</v>
      </c>
      <c r="J9" s="39" t="s">
        <v>359</v>
      </c>
      <c r="K9" s="9">
        <v>517.4</v>
      </c>
      <c r="L9" s="10">
        <v>194.1</v>
      </c>
      <c r="M9" s="11">
        <v>5.05</v>
      </c>
      <c r="N9" s="12">
        <v>84.4</v>
      </c>
      <c r="O9" s="12">
        <v>96.7</v>
      </c>
      <c r="P9" s="34">
        <v>25020020</v>
      </c>
    </row>
    <row r="10" ht="16.5" spans="1:16">
      <c r="A10" s="39" t="s">
        <v>360</v>
      </c>
      <c r="B10" s="9">
        <v>266.4</v>
      </c>
      <c r="C10" s="10">
        <v>123.5</v>
      </c>
      <c r="D10" s="11">
        <v>3.03</v>
      </c>
      <c r="E10" s="12">
        <v>76.1</v>
      </c>
      <c r="F10" s="12">
        <v>94.6</v>
      </c>
      <c r="G10" s="34">
        <v>25010473</v>
      </c>
      <c r="J10" s="39" t="s">
        <v>361</v>
      </c>
      <c r="K10" s="9">
        <v>543.8</v>
      </c>
      <c r="L10" s="10">
        <v>193.9</v>
      </c>
      <c r="M10" s="11">
        <v>5.46</v>
      </c>
      <c r="N10" s="12">
        <v>80.9</v>
      </c>
      <c r="O10" s="12">
        <v>95.4</v>
      </c>
      <c r="P10" s="34">
        <v>25020022</v>
      </c>
    </row>
    <row r="11" ht="16.5" spans="1:16">
      <c r="A11" s="39" t="s">
        <v>362</v>
      </c>
      <c r="B11" s="9">
        <v>489.2</v>
      </c>
      <c r="C11" s="10">
        <v>191.1</v>
      </c>
      <c r="D11" s="11">
        <v>4.55</v>
      </c>
      <c r="E11" s="12">
        <v>87.3</v>
      </c>
      <c r="F11" s="12">
        <v>97.3</v>
      </c>
      <c r="G11" s="34">
        <v>25020043</v>
      </c>
      <c r="J11" s="39" t="s">
        <v>363</v>
      </c>
      <c r="K11" s="9">
        <v>366</v>
      </c>
      <c r="L11" s="10">
        <v>195.5</v>
      </c>
      <c r="M11" s="11">
        <v>5.55</v>
      </c>
      <c r="N11" s="12">
        <v>80.6</v>
      </c>
      <c r="O11" s="12">
        <v>95.4</v>
      </c>
      <c r="P11" s="34">
        <v>25020023</v>
      </c>
    </row>
    <row r="12" ht="16.5" spans="1:16">
      <c r="A12" s="39" t="s">
        <v>364</v>
      </c>
      <c r="B12" s="9">
        <v>507.4</v>
      </c>
      <c r="C12" s="10">
        <v>251.5</v>
      </c>
      <c r="D12" s="11">
        <v>5.33</v>
      </c>
      <c r="E12" s="12">
        <v>84.4</v>
      </c>
      <c r="F12" s="12">
        <v>95.1</v>
      </c>
      <c r="G12" s="34">
        <v>25010214</v>
      </c>
      <c r="J12" s="39" t="s">
        <v>365</v>
      </c>
      <c r="K12" s="9">
        <v>524</v>
      </c>
      <c r="L12" s="10">
        <v>265.1</v>
      </c>
      <c r="M12" s="11">
        <v>4.66</v>
      </c>
      <c r="N12" s="12">
        <v>91.5</v>
      </c>
      <c r="O12" s="12">
        <v>98.4</v>
      </c>
      <c r="P12" s="34">
        <v>25020033</v>
      </c>
    </row>
    <row r="13" ht="16.5" spans="1:16">
      <c r="A13" s="39" t="s">
        <v>366</v>
      </c>
      <c r="B13" s="9">
        <v>478.6</v>
      </c>
      <c r="C13" s="10">
        <v>262.5</v>
      </c>
      <c r="D13" s="11">
        <v>5.3</v>
      </c>
      <c r="E13" s="12">
        <v>88.6</v>
      </c>
      <c r="F13" s="12">
        <v>96.9</v>
      </c>
      <c r="G13" s="34">
        <v>25010268</v>
      </c>
      <c r="J13" s="39" t="s">
        <v>367</v>
      </c>
      <c r="K13" s="9">
        <v>335.6</v>
      </c>
      <c r="L13" s="10">
        <v>238.7</v>
      </c>
      <c r="M13" s="11">
        <v>4.66</v>
      </c>
      <c r="N13" s="12">
        <v>72.3</v>
      </c>
      <c r="O13" s="12">
        <v>89.9</v>
      </c>
      <c r="P13" s="34">
        <v>25020080</v>
      </c>
    </row>
    <row r="27" ht="16.5" spans="1:16">
      <c r="A27" s="116">
        <v>210</v>
      </c>
      <c r="B27" s="2">
        <f>SUM(B29:B49)</f>
        <v>5067.2</v>
      </c>
      <c r="C27" s="3" cm="1">
        <f t="array" ref="C27">SUMPRODUCT(C29:C49*B29:B49)/B27</f>
        <v>178.598658035996</v>
      </c>
      <c r="D27" s="4" cm="1">
        <f t="array" ref="D27">SUMPRODUCT(B29:B49*D29:D49)/B27</f>
        <v>4.07916561414588</v>
      </c>
      <c r="E27" s="3" cm="1">
        <f t="array" ref="E27">SUMPRODUCT(B29:B49*E29:E49)/B27</f>
        <v>79.5271629302179</v>
      </c>
      <c r="F27" s="3" cm="1">
        <f t="array" ref="F27">SUMPRODUCT(B29:B49*F29:F49)/B27</f>
        <v>93.9729199557941</v>
      </c>
      <c r="J27" s="116">
        <v>211</v>
      </c>
      <c r="K27" s="2">
        <f>SUM(K29:K49)</f>
        <v>5072.6</v>
      </c>
      <c r="L27" s="3" cm="1">
        <f t="array" ref="L27">SUMPRODUCT(L29:L49*K29:K49)/K27</f>
        <v>178.722497338643</v>
      </c>
      <c r="M27" s="4" cm="1">
        <f t="array" ref="M27">SUMPRODUCT(K29:K49*M29:M49)/K27</f>
        <v>4.08597129677089</v>
      </c>
      <c r="N27" s="3" cm="1">
        <f t="array" ref="N27">SUMPRODUCT(K29:K49*N29:N49)/K27</f>
        <v>77.6927335094429</v>
      </c>
      <c r="O27" s="3" cm="1">
        <f t="array" ref="O27">SUMPRODUCT(K29:K49*O29:O49)/K27</f>
        <v>93.1561644915822</v>
      </c>
    </row>
    <row r="28" ht="16.5" spans="1:16">
      <c r="A28" s="6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J28" s="6"/>
      <c r="K28" s="6" t="s">
        <v>0</v>
      </c>
      <c r="L28" s="6" t="s">
        <v>1</v>
      </c>
      <c r="M28" s="6" t="s">
        <v>2</v>
      </c>
      <c r="N28" s="6" t="s">
        <v>3</v>
      </c>
      <c r="O28" s="6" t="s">
        <v>4</v>
      </c>
    </row>
    <row r="29" ht="16.5" spans="1:16">
      <c r="A29" s="39" t="s">
        <v>368</v>
      </c>
      <c r="B29" s="9">
        <v>544.8</v>
      </c>
      <c r="C29" s="10">
        <v>104.5</v>
      </c>
      <c r="D29" s="11">
        <v>2.64</v>
      </c>
      <c r="E29" s="12">
        <v>73.1</v>
      </c>
      <c r="F29" s="12">
        <v>92.8</v>
      </c>
      <c r="G29" s="34">
        <v>25010479</v>
      </c>
      <c r="J29" s="39" t="s">
        <v>369</v>
      </c>
      <c r="K29" s="9">
        <v>481.6</v>
      </c>
      <c r="L29" s="10">
        <v>122.2</v>
      </c>
      <c r="M29" s="11">
        <v>2.96</v>
      </c>
      <c r="N29" s="12">
        <v>69.4</v>
      </c>
      <c r="O29" s="12">
        <v>88.7</v>
      </c>
      <c r="P29" s="34">
        <v>24120354</v>
      </c>
    </row>
    <row r="30" ht="16.5" spans="1:16">
      <c r="A30" s="39" t="s">
        <v>370</v>
      </c>
      <c r="B30" s="9">
        <v>423.6</v>
      </c>
      <c r="C30" s="10">
        <v>237.6</v>
      </c>
      <c r="D30" s="11">
        <v>4.69</v>
      </c>
      <c r="E30" s="12">
        <v>88.4</v>
      </c>
      <c r="F30" s="12">
        <v>97.3</v>
      </c>
      <c r="G30" s="34">
        <v>25010186</v>
      </c>
      <c r="J30" s="39" t="s">
        <v>371</v>
      </c>
      <c r="K30" s="9">
        <v>513</v>
      </c>
      <c r="L30" s="10">
        <v>124.1</v>
      </c>
      <c r="M30" s="11">
        <v>3.15</v>
      </c>
      <c r="N30" s="12">
        <v>68.2</v>
      </c>
      <c r="O30" s="12">
        <v>89.4</v>
      </c>
      <c r="P30" s="34">
        <v>24120524</v>
      </c>
    </row>
    <row r="31" ht="16.5" spans="1:16">
      <c r="A31" s="39" t="s">
        <v>372</v>
      </c>
      <c r="B31" s="9">
        <v>545.6</v>
      </c>
      <c r="C31" s="10">
        <v>235.3</v>
      </c>
      <c r="D31" s="11">
        <v>5.35</v>
      </c>
      <c r="E31" s="12">
        <v>86.8</v>
      </c>
      <c r="F31" s="12">
        <v>97</v>
      </c>
      <c r="G31" s="34">
        <v>25010188</v>
      </c>
      <c r="J31" s="39" t="s">
        <v>373</v>
      </c>
      <c r="K31" s="9">
        <v>473.2</v>
      </c>
      <c r="L31" s="10">
        <v>105</v>
      </c>
      <c r="M31" s="11">
        <v>2.64</v>
      </c>
      <c r="N31" s="12">
        <v>65</v>
      </c>
      <c r="O31" s="12">
        <v>88</v>
      </c>
      <c r="P31" s="34">
        <v>24120584</v>
      </c>
    </row>
    <row r="32" ht="16.5" spans="1:16">
      <c r="A32" s="39" t="s">
        <v>374</v>
      </c>
      <c r="B32" s="9">
        <v>506.8</v>
      </c>
      <c r="C32" s="10">
        <v>123.8</v>
      </c>
      <c r="D32" s="11">
        <v>3.18</v>
      </c>
      <c r="E32" s="12">
        <v>68.9</v>
      </c>
      <c r="F32" s="12">
        <v>89.9</v>
      </c>
      <c r="G32" s="34">
        <v>24120523</v>
      </c>
      <c r="J32" s="39" t="s">
        <v>375</v>
      </c>
      <c r="K32" s="9">
        <v>357.2</v>
      </c>
      <c r="L32" s="10">
        <v>250.8</v>
      </c>
      <c r="M32" s="11">
        <v>5.08</v>
      </c>
      <c r="N32" s="12">
        <v>86.9</v>
      </c>
      <c r="O32" s="12">
        <v>96.5</v>
      </c>
      <c r="P32" s="34">
        <v>24120367</v>
      </c>
    </row>
    <row r="33" ht="16.5" spans="1:16">
      <c r="A33" s="39" t="s">
        <v>376</v>
      </c>
      <c r="B33" s="9">
        <v>538.4</v>
      </c>
      <c r="C33" s="10">
        <v>188.5</v>
      </c>
      <c r="D33" s="11">
        <v>4.69</v>
      </c>
      <c r="E33" s="12">
        <v>84.7</v>
      </c>
      <c r="F33" s="12">
        <v>96.4</v>
      </c>
      <c r="G33" s="34">
        <v>25010607</v>
      </c>
      <c r="J33" s="39" t="s">
        <v>377</v>
      </c>
      <c r="K33" s="9">
        <v>255.8</v>
      </c>
      <c r="L33" s="10">
        <v>250.3</v>
      </c>
      <c r="M33" s="11">
        <v>5.19</v>
      </c>
      <c r="N33" s="12">
        <v>86.5</v>
      </c>
      <c r="O33" s="12">
        <v>96.3</v>
      </c>
      <c r="P33" s="34">
        <v>24120368</v>
      </c>
    </row>
    <row r="34" ht="16.5" spans="1:16">
      <c r="A34" s="39" t="s">
        <v>378</v>
      </c>
      <c r="B34" s="9">
        <v>432</v>
      </c>
      <c r="C34" s="10">
        <v>227.5</v>
      </c>
      <c r="D34" s="11">
        <v>4.89</v>
      </c>
      <c r="E34" s="12">
        <v>87.7</v>
      </c>
      <c r="F34" s="12">
        <v>97.2</v>
      </c>
      <c r="G34" s="34">
        <v>25020014</v>
      </c>
      <c r="J34" s="39" t="s">
        <v>379</v>
      </c>
      <c r="K34" s="9">
        <v>495</v>
      </c>
      <c r="L34" s="10">
        <v>238</v>
      </c>
      <c r="M34" s="11">
        <v>5.19</v>
      </c>
      <c r="N34" s="12">
        <v>84.5</v>
      </c>
      <c r="O34" s="12">
        <v>95.7</v>
      </c>
      <c r="P34" s="34">
        <v>25010191</v>
      </c>
    </row>
    <row r="35" ht="16.5" spans="1:16">
      <c r="A35" s="39" t="s">
        <v>380</v>
      </c>
      <c r="B35" s="9">
        <v>515.8</v>
      </c>
      <c r="C35" s="10">
        <v>239.7</v>
      </c>
      <c r="D35" s="11">
        <v>5.27</v>
      </c>
      <c r="E35" s="12">
        <v>80.8</v>
      </c>
      <c r="F35" s="12">
        <v>94.3</v>
      </c>
      <c r="G35" s="34">
        <v>25010240</v>
      </c>
      <c r="J35" s="39" t="s">
        <v>381</v>
      </c>
      <c r="K35" s="9">
        <v>526.4</v>
      </c>
      <c r="L35" s="10">
        <v>189.7</v>
      </c>
      <c r="M35" s="11">
        <v>4.46</v>
      </c>
      <c r="N35" s="12">
        <v>85.4</v>
      </c>
      <c r="O35" s="12">
        <v>96.9</v>
      </c>
      <c r="P35" s="34">
        <v>25020046</v>
      </c>
    </row>
    <row r="36" ht="16.5" spans="1:16">
      <c r="A36" s="39" t="s">
        <v>382</v>
      </c>
      <c r="B36" s="9">
        <v>539.6</v>
      </c>
      <c r="C36" s="10">
        <v>101.4</v>
      </c>
      <c r="D36" s="11">
        <v>2.83</v>
      </c>
      <c r="E36" s="12">
        <v>69.6</v>
      </c>
      <c r="F36" s="12">
        <v>90.1</v>
      </c>
      <c r="G36" s="34">
        <v>25010368</v>
      </c>
      <c r="J36" s="39" t="s">
        <v>383</v>
      </c>
      <c r="K36" s="9">
        <v>425.2</v>
      </c>
      <c r="L36" s="10">
        <v>156.3</v>
      </c>
      <c r="M36" s="11">
        <v>4.26</v>
      </c>
      <c r="N36" s="12">
        <v>70.5</v>
      </c>
      <c r="O36" s="12">
        <v>90.3</v>
      </c>
      <c r="P36" s="34">
        <v>25020110</v>
      </c>
    </row>
    <row r="37" ht="16.5" spans="1:16">
      <c r="A37" s="39" t="s">
        <v>384</v>
      </c>
      <c r="B37" s="9">
        <v>496.6</v>
      </c>
      <c r="C37" s="10">
        <v>121.9</v>
      </c>
      <c r="D37" s="11">
        <v>2.83</v>
      </c>
      <c r="E37" s="12">
        <v>66.4</v>
      </c>
      <c r="F37" s="12">
        <v>86.8</v>
      </c>
      <c r="G37" s="34">
        <v>25010229</v>
      </c>
      <c r="J37" s="39" t="s">
        <v>385</v>
      </c>
      <c r="K37" s="9">
        <v>510.4</v>
      </c>
      <c r="L37" s="10">
        <v>214.3</v>
      </c>
      <c r="M37" s="11">
        <v>5.16</v>
      </c>
      <c r="N37" s="12">
        <v>79.4</v>
      </c>
      <c r="O37" s="12">
        <v>93.6</v>
      </c>
      <c r="P37" s="34">
        <v>25010495</v>
      </c>
    </row>
    <row r="38" ht="16.5" spans="1:16">
      <c r="A38" s="39" t="s">
        <v>332</v>
      </c>
      <c r="B38" s="9">
        <v>524</v>
      </c>
      <c r="C38" s="10">
        <v>224.5</v>
      </c>
      <c r="D38" s="11">
        <v>4.63</v>
      </c>
      <c r="E38" s="12">
        <v>91.1</v>
      </c>
      <c r="F38" s="12">
        <v>98.6</v>
      </c>
      <c r="G38" s="34">
        <v>25010602</v>
      </c>
      <c r="J38" s="39" t="s">
        <v>386</v>
      </c>
      <c r="K38" s="9">
        <v>508.2</v>
      </c>
      <c r="L38" s="10">
        <v>259.9</v>
      </c>
      <c r="M38" s="11">
        <v>4.97</v>
      </c>
      <c r="N38" s="12">
        <v>90.6</v>
      </c>
      <c r="O38" s="12">
        <v>98.1</v>
      </c>
      <c r="P38" s="34">
        <v>24120458</v>
      </c>
    </row>
    <row r="39" ht="16.5" spans="1:16">
      <c r="J39" s="39" t="s">
        <v>387</v>
      </c>
      <c r="K39" s="9">
        <v>526.6</v>
      </c>
      <c r="L39" s="10">
        <v>104.8</v>
      </c>
      <c r="M39" s="11">
        <v>2.67</v>
      </c>
      <c r="N39" s="12">
        <v>73</v>
      </c>
      <c r="O39" s="12">
        <v>92.7</v>
      </c>
      <c r="P39" s="34">
        <v>25010478</v>
      </c>
    </row>
  </sheetData>
  <conditionalFormatting sqref="A1">
    <cfRule type="duplicateValues" dxfId="0" priority="7"/>
  </conditionalFormatting>
  <conditionalFormatting sqref="J1">
    <cfRule type="duplicateValues" dxfId="0" priority="5"/>
  </conditionalFormatting>
  <conditionalFormatting sqref="J2">
    <cfRule type="duplicateValues" dxfId="0" priority="6"/>
  </conditionalFormatting>
  <conditionalFormatting sqref="A27">
    <cfRule type="duplicateValues" dxfId="0" priority="3"/>
  </conditionalFormatting>
  <conditionalFormatting sqref="J27">
    <cfRule type="duplicateValues" dxfId="0" priority="1"/>
  </conditionalFormatting>
  <conditionalFormatting sqref="A28">
    <cfRule type="duplicateValues" dxfId="0" priority="4"/>
  </conditionalFormatting>
  <conditionalFormatting sqref="J28">
    <cfRule type="duplicateValues" dxfId="0" priority="2"/>
  </conditionalFormatting>
  <conditionalFormatting sqref="A2:A13 A15">
    <cfRule type="duplicateValues" dxfId="0" priority="8"/>
  </conditionalFormatting>
  <dataValidations count="1">
    <dataValidation allowBlank="1" showInputMessage="1" showErrorMessage="1" sqref="L5 C12 B13:C13 C37 B38:C38 B29:C36 K3:L4 K6:L13 B3:C11 K29:L39"/>
  </dataValidation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selection activeCell="E26" sqref="E26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</cols>
  <sheetData>
    <row r="1" ht="16.5" spans="1:16">
      <c r="A1" s="116">
        <v>212</v>
      </c>
      <c r="B1" s="2">
        <f>SUM(B3:B23)</f>
        <v>1150.8</v>
      </c>
      <c r="C1" s="3" cm="1">
        <f t="array" ref="C1">SUMPRODUCT(C3:C23*B3:B23)/B1</f>
        <v>141.205978449774</v>
      </c>
      <c r="D1" s="4" cm="1">
        <f t="array" ref="D1">SUMPRODUCT(B3:B23*D3:D23)/B1</f>
        <v>3.7595272853667</v>
      </c>
      <c r="E1" s="3" cm="1">
        <f t="array" ref="E1">SUMPRODUCT(B3:B23*E3:E23)/B1</f>
        <v>73.2380952380952</v>
      </c>
      <c r="F1" s="3" cm="1">
        <f t="array" ref="F1">SUMPRODUCT(B3:B23*F3:F23)/B1</f>
        <v>92.1868265554397</v>
      </c>
      <c r="J1" s="116">
        <v>213</v>
      </c>
      <c r="K1" s="2">
        <f>SUM(K3:K23)</f>
        <v>3086.2</v>
      </c>
      <c r="L1" s="3" cm="1">
        <f t="array" ref="L1">SUMPRODUCT(L3:L23*K3:K23)/K1</f>
        <v>281.573345862225</v>
      </c>
      <c r="M1" s="4" cm="1">
        <f t="array" ref="M1">SUMPRODUCT(K3:K23*M3:M23)/K1</f>
        <v>5.01273021839155</v>
      </c>
      <c r="N1" s="3" cm="1">
        <f t="array" ref="N1">SUMPRODUCT(K3:K23*N3:N23)/K1</f>
        <v>83.233523426868</v>
      </c>
      <c r="O1" s="3" cm="1">
        <f t="array" ref="O1">SUMPRODUCT(K3:K23*O3:O23)/K1</f>
        <v>94.6644287473268</v>
      </c>
    </row>
    <row r="2" ht="16.5" spans="1:16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39" t="s">
        <v>388</v>
      </c>
      <c r="B3" s="9">
        <v>537.2</v>
      </c>
      <c r="C3" s="10">
        <v>127.2</v>
      </c>
      <c r="D3" s="11">
        <v>3.34</v>
      </c>
      <c r="E3" s="12">
        <v>75.8</v>
      </c>
      <c r="F3" s="12">
        <v>93.3</v>
      </c>
      <c r="G3" s="34">
        <v>25020059</v>
      </c>
      <c r="J3" s="192"/>
      <c r="K3" s="193">
        <v>0</v>
      </c>
      <c r="L3" s="78">
        <v>220</v>
      </c>
      <c r="M3" s="78">
        <v>4.9</v>
      </c>
      <c r="N3" s="78">
        <v>78</v>
      </c>
      <c r="O3" s="78">
        <v>90</v>
      </c>
      <c r="P3" s="194"/>
    </row>
    <row r="4" ht="16.5" spans="1:16">
      <c r="A4" s="39" t="s">
        <v>389</v>
      </c>
      <c r="B4" s="9">
        <v>359.2</v>
      </c>
      <c r="C4" s="10">
        <v>150.4</v>
      </c>
      <c r="D4" s="11">
        <v>3.99</v>
      </c>
      <c r="E4" s="12">
        <v>71.7</v>
      </c>
      <c r="F4" s="12">
        <v>92</v>
      </c>
      <c r="G4" s="34">
        <v>25020052</v>
      </c>
      <c r="J4" s="39" t="s">
        <v>390</v>
      </c>
      <c r="K4" s="9">
        <v>464.2</v>
      </c>
      <c r="L4" s="10">
        <v>205.5</v>
      </c>
      <c r="M4" s="11">
        <v>5.05</v>
      </c>
      <c r="N4" s="12">
        <v>45.7</v>
      </c>
      <c r="O4" s="12">
        <v>76</v>
      </c>
      <c r="P4" s="34">
        <v>25020085</v>
      </c>
    </row>
    <row r="5" ht="16.5" spans="1:16">
      <c r="A5" s="39" t="s">
        <v>391</v>
      </c>
      <c r="B5" s="9">
        <v>254.4</v>
      </c>
      <c r="C5" s="10">
        <v>157.8</v>
      </c>
      <c r="D5" s="11">
        <v>4.32</v>
      </c>
      <c r="E5" s="12">
        <v>70</v>
      </c>
      <c r="F5" s="12">
        <v>90.1</v>
      </c>
      <c r="G5" s="34">
        <v>25020111</v>
      </c>
      <c r="J5" s="39" t="s">
        <v>392</v>
      </c>
      <c r="K5" s="9">
        <v>509</v>
      </c>
      <c r="L5" s="10">
        <v>297.6</v>
      </c>
      <c r="M5" s="11">
        <v>5</v>
      </c>
      <c r="N5" s="12">
        <v>90.5</v>
      </c>
      <c r="O5" s="12">
        <v>98.2</v>
      </c>
      <c r="P5" s="34">
        <v>24110394</v>
      </c>
    </row>
    <row r="6" ht="16.5" spans="1:16">
      <c r="J6" s="39" t="s">
        <v>393</v>
      </c>
      <c r="K6" s="9">
        <v>334.2</v>
      </c>
      <c r="L6" s="10">
        <v>293.6</v>
      </c>
      <c r="M6" s="11">
        <v>5.46</v>
      </c>
      <c r="N6" s="12">
        <v>85</v>
      </c>
      <c r="O6" s="12">
        <v>96.3</v>
      </c>
      <c r="P6" s="34">
        <v>24120059</v>
      </c>
    </row>
    <row r="7" ht="16.5" spans="1:16">
      <c r="J7" s="39" t="s">
        <v>394</v>
      </c>
      <c r="K7" s="9">
        <v>224.2</v>
      </c>
      <c r="L7" s="10">
        <v>303</v>
      </c>
      <c r="M7" s="11">
        <v>5.33</v>
      </c>
      <c r="N7" s="12">
        <v>88.7</v>
      </c>
      <c r="O7" s="12">
        <v>97</v>
      </c>
      <c r="P7" s="34">
        <v>24120302</v>
      </c>
    </row>
    <row r="8" ht="16.5" spans="1:16">
      <c r="J8" s="39" t="s">
        <v>395</v>
      </c>
      <c r="K8" s="9">
        <v>300.8</v>
      </c>
      <c r="L8" s="10">
        <v>290.3</v>
      </c>
      <c r="M8" s="11">
        <v>4.75</v>
      </c>
      <c r="N8" s="12">
        <v>91.3</v>
      </c>
      <c r="O8" s="12">
        <v>98.3</v>
      </c>
      <c r="P8" s="34">
        <v>24110276</v>
      </c>
    </row>
    <row r="9" ht="16.5" spans="1:16">
      <c r="J9" s="39" t="s">
        <v>396</v>
      </c>
      <c r="K9" s="9">
        <v>207.6</v>
      </c>
      <c r="L9" s="10">
        <v>292.8</v>
      </c>
      <c r="M9" s="11">
        <v>4.89</v>
      </c>
      <c r="N9" s="12">
        <v>91.2</v>
      </c>
      <c r="O9" s="12">
        <v>98.9</v>
      </c>
      <c r="P9" s="34">
        <v>24110392</v>
      </c>
    </row>
    <row r="10" ht="16.5" spans="1:16">
      <c r="J10" s="39" t="s">
        <v>397</v>
      </c>
      <c r="K10" s="9">
        <v>492.2</v>
      </c>
      <c r="L10" s="10">
        <v>293.6</v>
      </c>
      <c r="M10" s="11">
        <v>4.63</v>
      </c>
      <c r="N10" s="12">
        <v>92.8</v>
      </c>
      <c r="O10" s="12">
        <v>98.6</v>
      </c>
      <c r="P10" s="34">
        <v>24110494</v>
      </c>
    </row>
    <row r="11" ht="16.5" spans="1:16">
      <c r="J11" s="39" t="s">
        <v>398</v>
      </c>
      <c r="K11" s="9">
        <v>185</v>
      </c>
      <c r="L11" s="10">
        <v>296.1</v>
      </c>
      <c r="M11" s="11">
        <v>5.49</v>
      </c>
      <c r="N11" s="12">
        <v>86.6</v>
      </c>
      <c r="O11" s="12">
        <v>96.8</v>
      </c>
      <c r="P11" s="34">
        <v>24120504</v>
      </c>
    </row>
    <row r="12" ht="16.5" spans="1:16">
      <c r="J12" s="39" t="s">
        <v>399</v>
      </c>
      <c r="K12" s="9">
        <v>369</v>
      </c>
      <c r="L12" s="10">
        <v>294.5</v>
      </c>
      <c r="M12" s="11">
        <v>4.94</v>
      </c>
      <c r="N12" s="12">
        <v>90</v>
      </c>
      <c r="O12" s="12">
        <v>98.7</v>
      </c>
      <c r="P12" s="34">
        <v>25010398</v>
      </c>
    </row>
  </sheetData>
  <conditionalFormatting sqref="A1">
    <cfRule type="duplicateValues" dxfId="0" priority="5"/>
  </conditionalFormatting>
  <conditionalFormatting sqref="J1">
    <cfRule type="duplicateValues" dxfId="0" priority="1"/>
  </conditionalFormatting>
  <conditionalFormatting sqref="A2">
    <cfRule type="duplicateValues" dxfId="0" priority="6"/>
  </conditionalFormatting>
  <conditionalFormatting sqref="J2">
    <cfRule type="duplicateValues" dxfId="0" priority="2"/>
  </conditionalFormatting>
  <dataValidations count="1">
    <dataValidation allowBlank="1" showInputMessage="1" showErrorMessage="1" sqref="B3:C5 K4:L12"/>
  </dataValidations>
  <pageMargins left="0.75" right="0.75" top="1" bottom="1" header="0.5" footer="0.5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E26" sqref="E26"/>
    </sheetView>
  </sheetViews>
  <sheetFormatPr defaultColWidth="9" defaultRowHeight="13.5"/>
  <cols>
    <col min="1" max="1" width="15.625" customWidth="1"/>
    <col min="7" max="8" width="9.375"/>
    <col min="10" max="10" width="15.625" customWidth="1"/>
    <col min="16" max="17" width="9.375"/>
  </cols>
  <sheetData>
    <row r="1" ht="16.5" spans="1:17">
      <c r="A1" s="116">
        <v>214</v>
      </c>
      <c r="B1" s="2">
        <f>SUM(B3:B23)</f>
        <v>5084.2</v>
      </c>
      <c r="C1" s="3" cm="1">
        <f t="array" ref="C1">SUMPRODUCT(C3:C23*B3:B23)/B1</f>
        <v>239.270012981393</v>
      </c>
      <c r="D1" s="4" cm="1">
        <f t="array" ref="D1">SUMPRODUCT(B3:B23*D3:D23)/B1</f>
        <v>4.96616144132804</v>
      </c>
      <c r="E1" s="3" cm="1">
        <f t="array" ref="E1">SUMPRODUCT(B3:B23*E3:E23)/B1</f>
        <v>92.6717399000826</v>
      </c>
      <c r="F1" s="3" cm="1">
        <f t="array" ref="F1">SUMPRODUCT(B3:B23*F3:F23)/B1</f>
        <v>97.8297273907399</v>
      </c>
      <c r="G1" s="3" cm="1">
        <f t="array" ref="G1">SUMPRODUCT(B3:B23*G3:G23)/B1</f>
        <v>12.8505617402935</v>
      </c>
      <c r="J1" s="116">
        <v>215</v>
      </c>
      <c r="K1" s="2">
        <f>SUM(K3:K23)</f>
        <v>5376</v>
      </c>
      <c r="L1" s="3" cm="1">
        <f t="array" ref="L1">SUMPRODUCT(L3:L23*K3:K23)/K1</f>
        <v>243.486919642857</v>
      </c>
      <c r="M1" s="4" cm="1">
        <f t="array" ref="M1">SUMPRODUCT(K3:K23*M3:M23)/K1</f>
        <v>4.98857477678571</v>
      </c>
      <c r="N1" s="3" cm="1">
        <f t="array" ref="N1">SUMPRODUCT(K3:K23*N3:N23)/K1</f>
        <v>89.2830617559524</v>
      </c>
      <c r="O1" s="3" cm="1">
        <f t="array" ref="O1">SUMPRODUCT(K3:K23*O3:O23)/K1</f>
        <v>96.1771316964286</v>
      </c>
      <c r="P1" s="3" cm="1">
        <f t="array" ref="P1">SUMPRODUCT(K3:K23*P3:P23)/K1</f>
        <v>12.4874817708333</v>
      </c>
    </row>
    <row r="2" ht="16.5" spans="1:17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J2" s="6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  <c r="P2" s="6" t="s">
        <v>5</v>
      </c>
    </row>
    <row r="3" ht="16.5" spans="1:17">
      <c r="A3" s="54" t="s">
        <v>400</v>
      </c>
      <c r="B3" s="9">
        <v>545.4</v>
      </c>
      <c r="C3" s="10">
        <v>136.8</v>
      </c>
      <c r="D3" s="11">
        <v>3.31</v>
      </c>
      <c r="E3" s="12">
        <v>90.6</v>
      </c>
      <c r="F3" s="12">
        <v>97.5</v>
      </c>
      <c r="G3" s="25">
        <v>13.9</v>
      </c>
      <c r="H3" s="34">
        <v>24100158</v>
      </c>
      <c r="J3" s="68" t="s">
        <v>401</v>
      </c>
      <c r="K3" s="56">
        <v>236.2</v>
      </c>
      <c r="L3" s="12">
        <v>273.2</v>
      </c>
      <c r="M3" s="11">
        <v>4.61</v>
      </c>
      <c r="N3" s="12">
        <v>93.3</v>
      </c>
      <c r="O3" s="12">
        <v>97.9</v>
      </c>
      <c r="P3" s="25">
        <v>12.73</v>
      </c>
      <c r="Q3" s="9">
        <v>24090021</v>
      </c>
    </row>
    <row r="4" ht="16.5" spans="1:17">
      <c r="A4" s="54" t="s">
        <v>402</v>
      </c>
      <c r="B4" s="9">
        <v>519</v>
      </c>
      <c r="C4" s="10">
        <v>268.4</v>
      </c>
      <c r="D4" s="11">
        <v>5.68</v>
      </c>
      <c r="E4" s="12">
        <v>94.5</v>
      </c>
      <c r="F4" s="12">
        <v>98.6</v>
      </c>
      <c r="G4" s="25">
        <v>12.35</v>
      </c>
      <c r="H4" s="34">
        <v>24090150</v>
      </c>
      <c r="J4" s="68" t="s">
        <v>403</v>
      </c>
      <c r="K4" s="56">
        <v>509</v>
      </c>
      <c r="L4" s="12">
        <v>269.4</v>
      </c>
      <c r="M4" s="11">
        <v>4.91</v>
      </c>
      <c r="N4" s="12">
        <v>89.4</v>
      </c>
      <c r="O4" s="12">
        <v>95.7</v>
      </c>
      <c r="P4" s="25">
        <v>13.03</v>
      </c>
      <c r="Q4" s="9">
        <v>24090023</v>
      </c>
    </row>
    <row r="5" ht="16.5" spans="1:17">
      <c r="A5" s="54" t="s">
        <v>404</v>
      </c>
      <c r="B5" s="9">
        <v>528.6</v>
      </c>
      <c r="C5" s="10">
        <v>265.3</v>
      </c>
      <c r="D5" s="11">
        <v>5.76</v>
      </c>
      <c r="E5" s="12">
        <v>94.6</v>
      </c>
      <c r="F5" s="12">
        <v>98.6</v>
      </c>
      <c r="G5" s="25">
        <v>12.33</v>
      </c>
      <c r="H5" s="34">
        <v>24090151</v>
      </c>
      <c r="J5" s="68" t="s">
        <v>405</v>
      </c>
      <c r="K5" s="56">
        <v>554.6</v>
      </c>
      <c r="L5" s="12">
        <v>237.1</v>
      </c>
      <c r="M5" s="11">
        <v>5.49</v>
      </c>
      <c r="N5" s="12">
        <v>78.7</v>
      </c>
      <c r="O5" s="12">
        <v>90.9</v>
      </c>
      <c r="P5" s="25">
        <v>13.31</v>
      </c>
      <c r="Q5" s="9">
        <v>24090028</v>
      </c>
    </row>
    <row r="6" ht="16.5" spans="1:17">
      <c r="A6" s="54" t="s">
        <v>406</v>
      </c>
      <c r="B6" s="9">
        <v>540.2</v>
      </c>
      <c r="C6" s="10">
        <v>276.2</v>
      </c>
      <c r="D6" s="11">
        <v>5.73</v>
      </c>
      <c r="E6" s="12">
        <v>95.3</v>
      </c>
      <c r="F6" s="12">
        <v>98.3</v>
      </c>
      <c r="G6" s="25">
        <v>12.42</v>
      </c>
      <c r="H6" s="34">
        <v>24090148</v>
      </c>
      <c r="J6" s="68" t="s">
        <v>407</v>
      </c>
      <c r="K6" s="56">
        <v>532.6</v>
      </c>
      <c r="L6" s="12">
        <v>157.5</v>
      </c>
      <c r="M6" s="11">
        <v>4.38</v>
      </c>
      <c r="N6" s="12">
        <v>83.2</v>
      </c>
      <c r="O6" s="12">
        <v>94.1</v>
      </c>
      <c r="P6" s="25">
        <v>12.67</v>
      </c>
      <c r="Q6" s="9">
        <v>24090138</v>
      </c>
    </row>
    <row r="7" ht="16.5" spans="1:17">
      <c r="A7" s="54" t="s">
        <v>408</v>
      </c>
      <c r="B7" s="9">
        <v>510.4</v>
      </c>
      <c r="C7" s="10">
        <v>267.6</v>
      </c>
      <c r="D7" s="11">
        <v>5.73</v>
      </c>
      <c r="E7" s="12">
        <v>95.7</v>
      </c>
      <c r="F7" s="12">
        <v>98.7</v>
      </c>
      <c r="G7" s="25">
        <v>12.25</v>
      </c>
      <c r="H7" s="34">
        <v>24090149</v>
      </c>
      <c r="J7" s="68" t="s">
        <v>409</v>
      </c>
      <c r="K7" s="56">
        <v>330</v>
      </c>
      <c r="L7" s="12">
        <v>243.7</v>
      </c>
      <c r="M7" s="11">
        <v>4.94</v>
      </c>
      <c r="N7" s="12">
        <v>89.1</v>
      </c>
      <c r="O7" s="12">
        <v>95.4</v>
      </c>
      <c r="P7" s="25">
        <v>12.91</v>
      </c>
      <c r="Q7" s="9">
        <v>24090048</v>
      </c>
    </row>
    <row r="8" ht="16.5" spans="1:17">
      <c r="A8" s="54" t="s">
        <v>410</v>
      </c>
      <c r="B8" s="9">
        <v>543.6</v>
      </c>
      <c r="C8" s="10">
        <v>130.4</v>
      </c>
      <c r="D8" s="11">
        <v>3.18</v>
      </c>
      <c r="E8" s="12">
        <v>90.1</v>
      </c>
      <c r="F8" s="12">
        <v>97.4</v>
      </c>
      <c r="G8" s="25">
        <v>14.12</v>
      </c>
      <c r="H8" s="34">
        <v>24100160</v>
      </c>
      <c r="J8" s="68" t="s">
        <v>411</v>
      </c>
      <c r="K8" s="56">
        <v>500.8</v>
      </c>
      <c r="L8" s="12">
        <v>296.6</v>
      </c>
      <c r="M8" s="11">
        <v>4.55</v>
      </c>
      <c r="N8" s="12">
        <v>94.4</v>
      </c>
      <c r="O8" s="12">
        <v>98.5</v>
      </c>
      <c r="P8" s="25">
        <v>11.23</v>
      </c>
      <c r="Q8" s="9">
        <v>24090069</v>
      </c>
    </row>
    <row r="9" ht="16.5" spans="1:17">
      <c r="A9" s="54" t="s">
        <v>412</v>
      </c>
      <c r="B9" s="9">
        <v>516.8</v>
      </c>
      <c r="C9" s="10">
        <v>283.7</v>
      </c>
      <c r="D9" s="11">
        <v>4.43</v>
      </c>
      <c r="E9" s="12">
        <v>94.3</v>
      </c>
      <c r="F9" s="12">
        <v>98.4</v>
      </c>
      <c r="G9" s="25">
        <v>12.65</v>
      </c>
      <c r="H9" s="34">
        <v>24090066</v>
      </c>
      <c r="J9" s="68" t="s">
        <v>413</v>
      </c>
      <c r="K9" s="56">
        <v>519.8</v>
      </c>
      <c r="L9" s="12">
        <v>254.6</v>
      </c>
      <c r="M9" s="11">
        <v>5.41</v>
      </c>
      <c r="N9" s="12">
        <v>92.8</v>
      </c>
      <c r="O9" s="12">
        <v>97.8</v>
      </c>
      <c r="P9" s="25">
        <v>12.74</v>
      </c>
      <c r="Q9" s="9">
        <v>24090153</v>
      </c>
    </row>
    <row r="10" ht="16.5" spans="1:17">
      <c r="A10" s="54" t="s">
        <v>414</v>
      </c>
      <c r="B10" s="9">
        <v>507.2</v>
      </c>
      <c r="C10" s="10">
        <v>283.6</v>
      </c>
      <c r="D10" s="11">
        <v>4.49</v>
      </c>
      <c r="E10" s="12">
        <v>94.6</v>
      </c>
      <c r="F10" s="12">
        <v>98.7</v>
      </c>
      <c r="G10" s="25">
        <v>12.71</v>
      </c>
      <c r="H10" s="34">
        <v>24090067</v>
      </c>
      <c r="J10" s="68" t="s">
        <v>415</v>
      </c>
      <c r="K10" s="56">
        <v>307.2</v>
      </c>
      <c r="L10" s="12">
        <v>253.2</v>
      </c>
      <c r="M10" s="11">
        <v>5.46</v>
      </c>
      <c r="N10" s="12">
        <v>92.9</v>
      </c>
      <c r="O10" s="12">
        <v>98</v>
      </c>
      <c r="P10" s="25">
        <v>12.53</v>
      </c>
      <c r="Q10" s="9">
        <v>24090155</v>
      </c>
    </row>
    <row r="11" ht="16.5" spans="1:17">
      <c r="A11" s="54" t="s">
        <v>42</v>
      </c>
      <c r="B11" s="9">
        <v>419</v>
      </c>
      <c r="C11" s="10">
        <v>247.1</v>
      </c>
      <c r="D11" s="11">
        <v>5.81</v>
      </c>
      <c r="E11" s="12">
        <v>88.3</v>
      </c>
      <c r="F11" s="12">
        <v>96.1</v>
      </c>
      <c r="G11" s="25">
        <v>12.83</v>
      </c>
      <c r="H11" s="9">
        <v>24090156</v>
      </c>
      <c r="J11" s="68" t="s">
        <v>416</v>
      </c>
      <c r="K11" s="56">
        <v>443.8</v>
      </c>
      <c r="L11" s="12">
        <v>246.3</v>
      </c>
      <c r="M11" s="11">
        <v>5.95</v>
      </c>
      <c r="N11" s="12">
        <v>87.1</v>
      </c>
      <c r="O11" s="12">
        <v>95</v>
      </c>
      <c r="P11" s="25">
        <v>12.86</v>
      </c>
      <c r="Q11" s="9">
        <v>24090158</v>
      </c>
    </row>
    <row r="12" ht="16.5" spans="1:17">
      <c r="A12" s="54" t="s">
        <v>417</v>
      </c>
      <c r="B12" s="9">
        <v>454</v>
      </c>
      <c r="C12" s="10">
        <v>246</v>
      </c>
      <c r="D12" s="11">
        <v>5.95</v>
      </c>
      <c r="E12" s="12">
        <v>87.4</v>
      </c>
      <c r="F12" s="12">
        <v>95.4</v>
      </c>
      <c r="G12" s="25">
        <v>12.84</v>
      </c>
      <c r="H12" s="9">
        <v>24090157</v>
      </c>
      <c r="J12" s="68" t="s">
        <v>418</v>
      </c>
      <c r="K12" s="56">
        <v>472.8</v>
      </c>
      <c r="L12" s="12">
        <v>284.1</v>
      </c>
      <c r="M12" s="11">
        <v>5.84</v>
      </c>
      <c r="N12" s="12">
        <v>94.8</v>
      </c>
      <c r="O12" s="12">
        <v>98.8</v>
      </c>
      <c r="P12" s="25">
        <v>11.35</v>
      </c>
      <c r="Q12" s="9">
        <v>24090145</v>
      </c>
    </row>
    <row r="13" ht="16.5" spans="1:17">
      <c r="A13" s="70"/>
      <c r="J13" s="68" t="s">
        <v>419</v>
      </c>
      <c r="K13" s="56">
        <v>509.4</v>
      </c>
      <c r="L13" s="12">
        <v>292.6</v>
      </c>
      <c r="M13" s="11">
        <v>4.77</v>
      </c>
      <c r="N13" s="12">
        <v>94.7</v>
      </c>
      <c r="O13" s="12">
        <v>98.8</v>
      </c>
      <c r="P13" s="25">
        <v>11.55</v>
      </c>
      <c r="Q13" s="9">
        <v>24090070</v>
      </c>
    </row>
    <row r="14" ht="16.5" spans="1:17">
      <c r="J14" s="68" t="s">
        <v>420</v>
      </c>
      <c r="K14" s="56">
        <v>459.8</v>
      </c>
      <c r="L14" s="12">
        <v>130.9</v>
      </c>
      <c r="M14" s="11">
        <v>3.53</v>
      </c>
      <c r="N14" s="12">
        <v>85.5</v>
      </c>
      <c r="O14" s="12">
        <v>95.1</v>
      </c>
      <c r="P14" s="25">
        <v>13.16</v>
      </c>
      <c r="Q14" s="9">
        <v>24090167</v>
      </c>
    </row>
  </sheetData>
  <conditionalFormatting sqref="A1">
    <cfRule type="duplicateValues" dxfId="0" priority="7"/>
  </conditionalFormatting>
  <conditionalFormatting sqref="J1">
    <cfRule type="duplicateValues" dxfId="0" priority="3"/>
  </conditionalFormatting>
  <conditionalFormatting sqref="A2">
    <cfRule type="duplicateValues" dxfId="0" priority="8"/>
  </conditionalFormatting>
  <conditionalFormatting sqref="J2">
    <cfRule type="duplicateValues" dxfId="0" priority="4"/>
  </conditionalFormatting>
  <dataValidations count="1">
    <dataValidation allowBlank="1" showInputMessage="1" showErrorMessage="1" sqref="B3:C12 K3:L14"/>
  </dataValidations>
  <pageMargins left="0.75" right="0.75" top="1" bottom="1" header="0.5" footer="0.5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I19" sqref="I19"/>
    </sheetView>
  </sheetViews>
  <sheetFormatPr defaultColWidth="9" defaultRowHeight="13.5" outlineLevelRow="1" outlineLevelCol="5"/>
  <cols>
    <col min="1" max="1" width="15.625" customWidth="1"/>
  </cols>
  <sheetData>
    <row r="1" ht="16.5" spans="1:6">
      <c r="A1" s="116">
        <v>216</v>
      </c>
      <c r="B1" s="2">
        <f>SUM(B3:B23)</f>
        <v>0</v>
      </c>
      <c r="C1" s="3" t="e" cm="1">
        <f t="array" ref="C1">SUMPRODUCT(C3:C23*B3:B23)/B1</f>
        <v>#DIV/0!</v>
      </c>
      <c r="D1" s="4" t="e" cm="1">
        <f t="array" ref="D1">SUMPRODUCT(B3:B23*D3:D23)/B1</f>
        <v>#DIV/0!</v>
      </c>
      <c r="E1" s="3" t="e" cm="1">
        <f t="array" ref="E1">SUMPRODUCT(B3:B23*E3:E23)/B1</f>
        <v>#DIV/0!</v>
      </c>
      <c r="F1" s="3" t="e" cm="1">
        <f t="array" ref="F1">SUMPRODUCT(B3:B23*F3:F23)/B1</f>
        <v>#DIV/0!</v>
      </c>
    </row>
    <row r="2" ht="16.5" spans="1:6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</sheetData>
  <conditionalFormatting sqref="A1">
    <cfRule type="duplicateValues" dxfId="0" priority="1"/>
  </conditionalFormatting>
  <conditionalFormatting sqref="A2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opLeftCell="B1" workbookViewId="0">
      <selection activeCell="K23" sqref="K23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218</v>
      </c>
      <c r="B1" s="2">
        <f>SUM(B3:B23)</f>
        <v>5112.8</v>
      </c>
      <c r="C1" s="3" cm="1">
        <f t="array" ref="C1">SUMPRODUCT(C3:C23*B3:B23)/B1</f>
        <v>182.049119856048</v>
      </c>
      <c r="D1" s="4" cm="1">
        <f t="array" ref="D1">SUMPRODUCT(B3:B23*D3:D23)/B1</f>
        <v>4.07033054295102</v>
      </c>
      <c r="E1" s="3" cm="1">
        <f t="array" ref="E1">SUMPRODUCT(B3:B23*E3:E23)/B1</f>
        <v>77.902965107182</v>
      </c>
      <c r="F1" s="3" cm="1">
        <f t="array" ref="F1">SUMPRODUCT(B3:B23*F3:F23)/B1</f>
        <v>93.7915467063058</v>
      </c>
      <c r="G1" s="3" cm="1">
        <f t="array" ref="G1">SUMPRODUCT(B3:B23*G3:G23)/B1</f>
        <v>11.3046330777656</v>
      </c>
    </row>
    <row r="2" ht="16.5" spans="1:8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421</v>
      </c>
      <c r="B3" s="9">
        <v>502</v>
      </c>
      <c r="C3" s="10">
        <v>109.6</v>
      </c>
      <c r="D3" s="11">
        <v>2.96</v>
      </c>
      <c r="E3" s="12">
        <v>74</v>
      </c>
      <c r="F3" s="12">
        <v>93.4</v>
      </c>
      <c r="G3" s="11">
        <v>11.44</v>
      </c>
      <c r="H3" s="24">
        <v>25020255</v>
      </c>
    </row>
    <row r="4" ht="16.5" spans="1:8">
      <c r="A4" s="39" t="s">
        <v>422</v>
      </c>
      <c r="B4" s="9">
        <v>500.4</v>
      </c>
      <c r="C4" s="10">
        <v>109.6</v>
      </c>
      <c r="D4" s="11">
        <v>3.03</v>
      </c>
      <c r="E4" s="12">
        <v>74.1</v>
      </c>
      <c r="F4" s="12">
        <v>93.5</v>
      </c>
      <c r="G4" s="11">
        <v>11.51</v>
      </c>
      <c r="H4" s="24">
        <v>25020256</v>
      </c>
    </row>
    <row r="5" ht="16.5" spans="1:8">
      <c r="A5" s="39" t="s">
        <v>423</v>
      </c>
      <c r="B5" s="9">
        <v>514.6</v>
      </c>
      <c r="C5" s="10">
        <v>100.9</v>
      </c>
      <c r="D5" s="11">
        <v>2.74</v>
      </c>
      <c r="E5" s="12">
        <v>74.6</v>
      </c>
      <c r="F5" s="12">
        <v>93.8</v>
      </c>
      <c r="G5" s="11">
        <v>11.95</v>
      </c>
      <c r="H5" s="24">
        <v>25020257</v>
      </c>
    </row>
    <row r="6" ht="16.5" spans="1:8">
      <c r="A6" s="39" t="s">
        <v>424</v>
      </c>
      <c r="B6" s="9">
        <v>532.4</v>
      </c>
      <c r="C6" s="10">
        <v>116.8</v>
      </c>
      <c r="D6" s="11">
        <v>3.06</v>
      </c>
      <c r="E6" s="12">
        <v>68.4</v>
      </c>
      <c r="F6" s="12">
        <v>90.5</v>
      </c>
      <c r="G6" s="11">
        <v>10.09</v>
      </c>
      <c r="H6" s="24">
        <v>25020259</v>
      </c>
    </row>
    <row r="7" ht="16.5" spans="1:8">
      <c r="A7" s="39" t="s">
        <v>425</v>
      </c>
      <c r="B7" s="9">
        <v>462</v>
      </c>
      <c r="C7" s="10">
        <v>118.9</v>
      </c>
      <c r="D7" s="11">
        <v>2.99</v>
      </c>
      <c r="E7" s="12">
        <v>68.3</v>
      </c>
      <c r="F7" s="12">
        <v>90.3</v>
      </c>
      <c r="G7" s="11">
        <v>10.43</v>
      </c>
      <c r="H7" s="24">
        <v>25020260</v>
      </c>
    </row>
    <row r="8" ht="16.5" spans="1:8">
      <c r="A8" s="39" t="s">
        <v>426</v>
      </c>
      <c r="B8" s="9">
        <v>489.8</v>
      </c>
      <c r="C8" s="10">
        <v>288.8</v>
      </c>
      <c r="D8" s="11">
        <v>4.72</v>
      </c>
      <c r="E8" s="12">
        <v>91.6</v>
      </c>
      <c r="F8" s="12">
        <v>98.8</v>
      </c>
      <c r="G8" s="11">
        <v>11.01</v>
      </c>
      <c r="H8" s="24">
        <v>25020179</v>
      </c>
    </row>
    <row r="9" ht="16.5" spans="1:8">
      <c r="A9" s="39" t="s">
        <v>427</v>
      </c>
      <c r="B9" s="9">
        <v>472.6</v>
      </c>
      <c r="C9" s="10">
        <v>236.8</v>
      </c>
      <c r="D9" s="11">
        <v>5.38</v>
      </c>
      <c r="E9" s="12">
        <v>80.2</v>
      </c>
      <c r="F9" s="12">
        <v>93.7</v>
      </c>
      <c r="G9" s="11">
        <v>11.54</v>
      </c>
      <c r="H9" s="24">
        <v>25010520</v>
      </c>
    </row>
    <row r="10" ht="16.5" spans="1:8">
      <c r="A10" s="39" t="s">
        <v>428</v>
      </c>
      <c r="B10" s="9">
        <v>387</v>
      </c>
      <c r="C10" s="10">
        <v>238.9</v>
      </c>
      <c r="D10" s="11">
        <v>5.27</v>
      </c>
      <c r="E10" s="12">
        <v>80.9</v>
      </c>
      <c r="F10" s="12">
        <v>94.2</v>
      </c>
      <c r="G10" s="11">
        <v>11.6</v>
      </c>
      <c r="H10" s="24">
        <v>25010521</v>
      </c>
    </row>
    <row r="11" ht="16.5" spans="1:8">
      <c r="A11" s="39" t="s">
        <v>429</v>
      </c>
      <c r="B11" s="9">
        <v>242.8</v>
      </c>
      <c r="C11" s="10">
        <v>228.3</v>
      </c>
      <c r="D11" s="11">
        <v>5.44</v>
      </c>
      <c r="E11" s="12">
        <v>80</v>
      </c>
      <c r="F11" s="12">
        <v>93.4</v>
      </c>
      <c r="G11" s="11">
        <v>11.68</v>
      </c>
      <c r="H11" s="24">
        <v>25010522</v>
      </c>
    </row>
    <row r="12" ht="16.5" spans="1:8">
      <c r="A12" s="39" t="s">
        <v>430</v>
      </c>
      <c r="B12" s="9">
        <v>518.2</v>
      </c>
      <c r="C12" s="10">
        <v>226.4</v>
      </c>
      <c r="D12" s="11">
        <v>5.35</v>
      </c>
      <c r="E12" s="12">
        <v>76.1</v>
      </c>
      <c r="F12" s="12">
        <v>91.8</v>
      </c>
      <c r="G12" s="11">
        <v>11.56</v>
      </c>
      <c r="H12" s="24">
        <v>25010523</v>
      </c>
    </row>
    <row r="13" ht="16.5" spans="1:8">
      <c r="A13" s="39" t="s">
        <v>431</v>
      </c>
      <c r="B13" s="9">
        <v>491</v>
      </c>
      <c r="C13" s="10">
        <v>271.5</v>
      </c>
      <c r="D13" s="11">
        <v>4.89</v>
      </c>
      <c r="E13" s="12">
        <v>91.2</v>
      </c>
      <c r="F13" s="12">
        <v>98.4</v>
      </c>
      <c r="G13" s="11">
        <v>11.8</v>
      </c>
      <c r="H13" s="24">
        <v>24120387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13"/>
  </dataValidations>
  <pageMargins left="0.75" right="0.75" top="1" bottom="1" header="0.5" footer="0.5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26" sqref="E26"/>
    </sheetView>
  </sheetViews>
  <sheetFormatPr defaultColWidth="9" defaultRowHeight="13.5" outlineLevelRow="7" outlineLevelCol="6"/>
  <cols>
    <col min="1" max="1" width="15.625" customWidth="1"/>
    <col min="7" max="7" width="9.375"/>
    <col min="12" max="12" width="15.625" customWidth="1"/>
  </cols>
  <sheetData>
    <row r="1" ht="16.5" spans="1:7">
      <c r="A1" s="116">
        <v>219</v>
      </c>
      <c r="B1" s="2">
        <f>SUM(B3:B23)</f>
        <v>2469.6</v>
      </c>
      <c r="C1" s="3" cm="1">
        <f t="array" ref="C1">SUMPRODUCT(C3:C23*B3:B23)/B1</f>
        <v>176.975558794947</v>
      </c>
      <c r="D1" s="4" cm="1">
        <f t="array" ref="D1">SUMPRODUCT(B3:B23*D3:D23)/B1</f>
        <v>3.89986070618724</v>
      </c>
      <c r="E1" s="3" cm="1">
        <f t="array" ref="E1">SUMPRODUCT(B3:B23*E3:E23)/B1</f>
        <v>79.5532798833819</v>
      </c>
      <c r="F1" s="3" cm="1">
        <f t="array" ref="F1">SUMPRODUCT(B3:B23*F3:F23)/B1</f>
        <v>94.3404761904762</v>
      </c>
      <c r="G1" s="3"/>
    </row>
    <row r="2" ht="16.5" spans="1:7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/>
    </row>
    <row r="3" ht="16.5" spans="1:7">
      <c r="A3" s="39" t="s">
        <v>432</v>
      </c>
      <c r="B3" s="9">
        <v>491</v>
      </c>
      <c r="C3" s="10">
        <v>157.1</v>
      </c>
      <c r="D3" s="11">
        <v>3.77</v>
      </c>
      <c r="E3" s="12">
        <v>80.6</v>
      </c>
      <c r="F3" s="12">
        <v>95.1</v>
      </c>
      <c r="G3" s="34">
        <v>25020310</v>
      </c>
    </row>
    <row r="4" ht="16.5" spans="1:7">
      <c r="A4" s="39" t="s">
        <v>433</v>
      </c>
      <c r="B4" s="9">
        <v>477</v>
      </c>
      <c r="C4" s="10">
        <v>156</v>
      </c>
      <c r="D4" s="11">
        <v>3.73</v>
      </c>
      <c r="E4" s="12">
        <v>81.1</v>
      </c>
      <c r="F4" s="12">
        <v>95.3</v>
      </c>
      <c r="G4" s="34">
        <v>25020311</v>
      </c>
    </row>
    <row r="5" ht="16.5" spans="1:7">
      <c r="A5" s="39" t="s">
        <v>434</v>
      </c>
      <c r="B5" s="9">
        <v>360.6</v>
      </c>
      <c r="C5" s="10">
        <v>157.3</v>
      </c>
      <c r="D5" s="11">
        <v>3.73</v>
      </c>
      <c r="E5" s="12">
        <v>80.2</v>
      </c>
      <c r="F5" s="12">
        <v>94.8</v>
      </c>
      <c r="G5" s="34">
        <v>25020312</v>
      </c>
    </row>
    <row r="6" ht="16.5" spans="1:7">
      <c r="A6" s="39" t="s">
        <v>435</v>
      </c>
      <c r="B6" s="9">
        <v>436.2</v>
      </c>
      <c r="C6" s="10">
        <v>258.6</v>
      </c>
      <c r="D6" s="11">
        <v>4.57</v>
      </c>
      <c r="E6" s="12">
        <v>87.6</v>
      </c>
      <c r="F6" s="12">
        <v>97.2</v>
      </c>
      <c r="G6" s="34">
        <v>25020154</v>
      </c>
    </row>
    <row r="7" ht="16.5" spans="1:7">
      <c r="A7" s="39" t="s">
        <v>436</v>
      </c>
      <c r="B7" s="9">
        <v>518.4</v>
      </c>
      <c r="C7" s="10">
        <v>130.9</v>
      </c>
      <c r="D7" s="11">
        <v>3.55</v>
      </c>
      <c r="E7" s="12">
        <v>67.6</v>
      </c>
      <c r="F7" s="12">
        <v>89.2</v>
      </c>
      <c r="G7" s="34">
        <v>25020054</v>
      </c>
    </row>
    <row r="8" ht="16.5" spans="1:7">
      <c r="A8" s="39" t="s">
        <v>437</v>
      </c>
      <c r="B8" s="9">
        <v>186.4</v>
      </c>
      <c r="C8" s="10">
        <v>258.2</v>
      </c>
      <c r="D8" s="11">
        <v>4.41</v>
      </c>
      <c r="E8" s="12">
        <v>86</v>
      </c>
      <c r="F8" s="12">
        <v>96.6</v>
      </c>
      <c r="G8" s="34">
        <v>25020005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8"/>
  </dataValidations>
  <pageMargins left="0.75" right="0.75" top="1" bottom="1" header="0.5" footer="0.5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"/>
  <sheetViews>
    <sheetView workbookViewId="0">
      <selection activeCell="G34" sqref="G34"/>
    </sheetView>
  </sheetViews>
  <sheetFormatPr defaultColWidth="9" defaultRowHeight="13.5"/>
  <cols>
    <col min="1" max="1" width="15.625" customWidth="1"/>
    <col min="7" max="8" width="9.375"/>
    <col min="10" max="10" width="15.625" customWidth="1"/>
    <col min="16" max="17" width="9.375"/>
    <col min="19" max="19" width="15.625" customWidth="1"/>
    <col min="20" max="21" width="9.375"/>
  </cols>
  <sheetData>
    <row r="1" ht="16.5" spans="1:20">
      <c r="A1" s="116">
        <v>2018</v>
      </c>
      <c r="B1" s="2">
        <f>SUM(B3:B23)</f>
        <v>5132.2</v>
      </c>
      <c r="C1" s="3" cm="1">
        <f t="array" ref="C1">SUMPRODUCT(C3:C23*B3:B23)/B1</f>
        <v>265.103667043373</v>
      </c>
      <c r="D1" s="4" cm="1">
        <f t="array" ref="D1">SUMPRODUCT(B3:B23*D3:D23)/B1</f>
        <v>4.93165698920541</v>
      </c>
      <c r="E1" s="3" cm="1">
        <f t="array" ref="E1">SUMPRODUCT(B3:B23*E3:E23)/B1</f>
        <v>82.6332372082148</v>
      </c>
      <c r="F1" s="3" cm="1">
        <f t="array" ref="F1">SUMPRODUCT(B3:B23*F3:F23)/B1</f>
        <v>94.8519231518647</v>
      </c>
      <c r="G1" s="3" cm="1">
        <f t="array" ref="G1">SUMPRODUCT(B3:B23*G3:G23)/B1</f>
        <v>0</v>
      </c>
      <c r="J1" s="116">
        <v>2018</v>
      </c>
      <c r="K1" s="2">
        <f>SUM(K3:K23)</f>
        <v>5153.6</v>
      </c>
      <c r="L1" s="3" cm="1">
        <f t="array" ref="L1">SUMPRODUCT(L3:L23*K3:K23)/K1</f>
        <v>265.916015988823</v>
      </c>
      <c r="M1" s="4" cm="1">
        <f t="array" ref="M1">SUMPRODUCT(K3:K23*M3:M23)/K1</f>
        <v>4.93595700093139</v>
      </c>
      <c r="N1" s="3" cm="1">
        <f t="array" ref="N1">SUMPRODUCT(K3:K23*N3:N23)/K1</f>
        <v>86.6850745110214</v>
      </c>
      <c r="O1" s="3" cm="1">
        <f t="array" ref="O1">SUMPRODUCT(K3:K23*O3:O23)/K1</f>
        <v>96.5472330021732</v>
      </c>
      <c r="P1" s="3" cm="1">
        <f t="array" ref="P1">SUMPRODUCT(K3:K23*P3:P23)/K1</f>
        <v>6.1836735485874</v>
      </c>
    </row>
    <row r="2" ht="16.5" spans="1:20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438</v>
      </c>
      <c r="J2" s="6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  <c r="P2" s="6" t="s">
        <v>438</v>
      </c>
    </row>
    <row r="3" ht="16.5" spans="1:20">
      <c r="A3" s="39" t="s">
        <v>439</v>
      </c>
      <c r="B3" s="9">
        <v>319.6</v>
      </c>
      <c r="C3" s="10">
        <v>207.6</v>
      </c>
      <c r="D3" s="11">
        <v>5.02</v>
      </c>
      <c r="E3" s="12">
        <v>84.1</v>
      </c>
      <c r="F3" s="12">
        <v>96.7</v>
      </c>
      <c r="H3" s="34">
        <v>25020162</v>
      </c>
      <c r="J3" s="39" t="s">
        <v>440</v>
      </c>
      <c r="K3" s="9">
        <v>495</v>
      </c>
      <c r="L3" s="10">
        <v>265.8</v>
      </c>
      <c r="M3" s="11">
        <v>4.94</v>
      </c>
      <c r="N3" s="12">
        <v>87.7</v>
      </c>
      <c r="O3" s="12">
        <v>96.2</v>
      </c>
      <c r="P3" s="28">
        <v>5.7</v>
      </c>
      <c r="Q3" s="34">
        <v>24120589</v>
      </c>
      <c r="S3" s="23" t="s">
        <v>441</v>
      </c>
      <c r="T3" s="14">
        <v>25020096</v>
      </c>
    </row>
    <row r="4" ht="16.5" spans="1:20">
      <c r="A4" s="68" t="s">
        <v>442</v>
      </c>
      <c r="B4" s="9">
        <v>521.4</v>
      </c>
      <c r="C4" s="10">
        <v>199.8</v>
      </c>
      <c r="D4" s="11">
        <v>5.49</v>
      </c>
      <c r="E4" s="12">
        <v>70.4</v>
      </c>
      <c r="F4" s="12">
        <v>90.4</v>
      </c>
      <c r="H4" s="34">
        <v>25020164</v>
      </c>
      <c r="J4" s="39" t="s">
        <v>443</v>
      </c>
      <c r="K4" s="9">
        <v>490.2</v>
      </c>
      <c r="L4" s="10">
        <v>264</v>
      </c>
      <c r="M4" s="11">
        <v>4.94</v>
      </c>
      <c r="N4" s="12">
        <v>87.8</v>
      </c>
      <c r="O4" s="12">
        <v>96.3</v>
      </c>
      <c r="P4" s="28">
        <v>6</v>
      </c>
      <c r="Q4" s="34">
        <v>24120590</v>
      </c>
    </row>
    <row r="5" ht="16.5" spans="1:20">
      <c r="A5" s="68" t="s">
        <v>444</v>
      </c>
      <c r="B5" s="9">
        <v>571</v>
      </c>
      <c r="C5" s="10">
        <v>285.8</v>
      </c>
      <c r="D5" s="11">
        <v>4.72</v>
      </c>
      <c r="E5" s="12">
        <v>81</v>
      </c>
      <c r="F5" s="12">
        <v>94.7</v>
      </c>
      <c r="H5" s="34">
        <v>24110193</v>
      </c>
      <c r="J5" s="39" t="s">
        <v>445</v>
      </c>
      <c r="K5" s="9">
        <v>485</v>
      </c>
      <c r="L5" s="10">
        <v>264.2</v>
      </c>
      <c r="M5" s="11">
        <v>4.94</v>
      </c>
      <c r="N5" s="12">
        <v>89.9</v>
      </c>
      <c r="O5" s="12">
        <v>97.3</v>
      </c>
      <c r="P5" s="28">
        <v>6</v>
      </c>
      <c r="Q5" s="34">
        <v>24120592</v>
      </c>
    </row>
    <row r="6" ht="16.5" spans="1:20">
      <c r="A6" s="68" t="s">
        <v>446</v>
      </c>
      <c r="B6" s="9">
        <v>529.6</v>
      </c>
      <c r="C6" s="10">
        <v>285.5</v>
      </c>
      <c r="D6" s="11">
        <v>4.69</v>
      </c>
      <c r="E6" s="12">
        <v>82.5</v>
      </c>
      <c r="F6" s="12">
        <v>95.2</v>
      </c>
      <c r="H6" s="34">
        <v>24110194</v>
      </c>
      <c r="J6" s="39" t="s">
        <v>447</v>
      </c>
      <c r="K6" s="9">
        <v>505.6</v>
      </c>
      <c r="L6" s="10">
        <v>260</v>
      </c>
      <c r="M6" s="11">
        <v>4.82</v>
      </c>
      <c r="N6" s="12">
        <v>89.6</v>
      </c>
      <c r="O6" s="12">
        <v>97.4</v>
      </c>
      <c r="P6" s="28">
        <v>6</v>
      </c>
      <c r="Q6" s="34">
        <v>24120594</v>
      </c>
    </row>
    <row r="7" ht="16.5" spans="1:20">
      <c r="A7" s="68" t="s">
        <v>448</v>
      </c>
      <c r="B7" s="9">
        <v>556.8</v>
      </c>
      <c r="C7" s="10">
        <v>274</v>
      </c>
      <c r="D7" s="11">
        <v>4.66</v>
      </c>
      <c r="E7" s="12">
        <v>85.7</v>
      </c>
      <c r="F7" s="12">
        <v>96</v>
      </c>
      <c r="H7" s="34">
        <v>24110217</v>
      </c>
      <c r="J7" s="39" t="s">
        <v>449</v>
      </c>
      <c r="K7" s="9">
        <v>493.8</v>
      </c>
      <c r="L7" s="10">
        <v>269.8</v>
      </c>
      <c r="M7" s="11">
        <v>4.94</v>
      </c>
      <c r="N7" s="12">
        <v>89.6</v>
      </c>
      <c r="O7" s="12">
        <v>97.3</v>
      </c>
      <c r="P7" s="28">
        <v>6</v>
      </c>
      <c r="Q7" s="34">
        <v>24120621</v>
      </c>
    </row>
    <row r="8" ht="16.5" spans="1:20">
      <c r="A8" s="68" t="s">
        <v>450</v>
      </c>
      <c r="B8" s="9">
        <v>456.8</v>
      </c>
      <c r="C8" s="10">
        <v>272.2</v>
      </c>
      <c r="D8" s="11">
        <v>4.73</v>
      </c>
      <c r="E8" s="12">
        <v>85.4</v>
      </c>
      <c r="F8" s="12">
        <v>95.8</v>
      </c>
      <c r="H8" s="34">
        <v>24110218</v>
      </c>
      <c r="J8" s="39" t="s">
        <v>451</v>
      </c>
      <c r="K8" s="9">
        <v>453.8</v>
      </c>
      <c r="L8" s="10">
        <v>283.5</v>
      </c>
      <c r="M8" s="11">
        <v>5.16</v>
      </c>
      <c r="N8" s="12">
        <v>91.2</v>
      </c>
      <c r="O8" s="12">
        <v>98.2</v>
      </c>
      <c r="P8" s="28">
        <v>6</v>
      </c>
      <c r="Q8" s="34">
        <v>24120228</v>
      </c>
    </row>
    <row r="9" ht="16.5" spans="1:20">
      <c r="A9" s="68" t="s">
        <v>452</v>
      </c>
      <c r="B9" s="9">
        <v>379.8</v>
      </c>
      <c r="C9" s="10">
        <v>288.5</v>
      </c>
      <c r="D9" s="11">
        <v>4.77</v>
      </c>
      <c r="E9" s="12">
        <v>91.7</v>
      </c>
      <c r="F9" s="12">
        <v>98.4</v>
      </c>
      <c r="H9" s="34">
        <v>24110275</v>
      </c>
      <c r="J9" s="39" t="s">
        <v>453</v>
      </c>
      <c r="K9" s="9">
        <v>364</v>
      </c>
      <c r="L9" s="10">
        <v>266</v>
      </c>
      <c r="M9" s="11">
        <v>4.94</v>
      </c>
      <c r="N9" s="12">
        <v>89.9</v>
      </c>
      <c r="O9" s="12">
        <v>97.4</v>
      </c>
      <c r="P9" s="28">
        <v>7.6</v>
      </c>
      <c r="Q9" s="34">
        <v>24120591</v>
      </c>
    </row>
    <row r="10" ht="16.5" spans="1:20">
      <c r="A10" s="68" t="s">
        <v>454</v>
      </c>
      <c r="B10" s="9">
        <v>510.8</v>
      </c>
      <c r="C10" s="10">
        <v>281.8</v>
      </c>
      <c r="D10" s="11">
        <v>5.27</v>
      </c>
      <c r="E10" s="12">
        <v>91.4</v>
      </c>
      <c r="F10" s="12">
        <v>98</v>
      </c>
      <c r="H10" s="34">
        <v>24110454</v>
      </c>
      <c r="J10" s="39" t="s">
        <v>455</v>
      </c>
      <c r="K10" s="9">
        <v>366.2</v>
      </c>
      <c r="L10" s="10">
        <v>276.2</v>
      </c>
      <c r="M10" s="11">
        <v>4.94</v>
      </c>
      <c r="N10" s="12">
        <v>90.2</v>
      </c>
      <c r="O10" s="12">
        <v>97.6</v>
      </c>
      <c r="P10" s="28">
        <v>7.4</v>
      </c>
      <c r="Q10" s="34">
        <v>25010120</v>
      </c>
    </row>
    <row r="11" ht="16.5" spans="1:20">
      <c r="A11" s="68" t="s">
        <v>456</v>
      </c>
      <c r="B11" s="9">
        <v>278.4</v>
      </c>
      <c r="C11" s="10">
        <v>176.7</v>
      </c>
      <c r="D11" s="11">
        <v>5.19</v>
      </c>
      <c r="E11" s="12">
        <v>42.3</v>
      </c>
      <c r="F11" s="12">
        <v>73.2</v>
      </c>
      <c r="H11" s="34">
        <v>25020171</v>
      </c>
      <c r="J11" s="19"/>
      <c r="K11" s="19">
        <v>1500</v>
      </c>
      <c r="L11" s="19">
        <v>260</v>
      </c>
      <c r="M11" s="19">
        <v>4.9</v>
      </c>
      <c r="N11" s="19">
        <v>80</v>
      </c>
      <c r="O11" s="19">
        <v>95</v>
      </c>
      <c r="P11" s="62">
        <v>6</v>
      </c>
    </row>
    <row r="12" ht="16.5" spans="1:20">
      <c r="A12" s="68" t="s">
        <v>457</v>
      </c>
      <c r="B12" s="9">
        <v>491.8</v>
      </c>
      <c r="C12" s="10">
        <v>292.2</v>
      </c>
      <c r="D12" s="11">
        <v>5.08</v>
      </c>
      <c r="E12" s="12">
        <v>88.8</v>
      </c>
      <c r="F12" s="12">
        <v>98.2</v>
      </c>
      <c r="H12" s="34">
        <v>24110396</v>
      </c>
    </row>
    <row r="13" ht="16.5" spans="1:20">
      <c r="A13" s="39" t="s">
        <v>458</v>
      </c>
      <c r="B13" s="9">
        <v>516.2</v>
      </c>
      <c r="C13" s="10">
        <v>295.1</v>
      </c>
      <c r="D13" s="11">
        <v>4.77</v>
      </c>
      <c r="E13" s="12">
        <v>90.8</v>
      </c>
      <c r="F13" s="12">
        <v>98.7</v>
      </c>
      <c r="H13" s="34">
        <v>25020089</v>
      </c>
    </row>
    <row r="27" ht="16.5" spans="1:16">
      <c r="A27" s="116">
        <v>2019</v>
      </c>
      <c r="B27" s="2">
        <f>SUM(B29:B49)</f>
        <v>5182.4</v>
      </c>
      <c r="C27" s="3" cm="1">
        <f t="array" ref="C27">SUMPRODUCT(C29:C49*B29:B49)/B27</f>
        <v>264.745654523001</v>
      </c>
      <c r="D27" s="4" cm="1">
        <f t="array" ref="D27">SUMPRODUCT(B29:B49*D29:D49)/B27</f>
        <v>4.91788939487496</v>
      </c>
      <c r="E27" s="3" cm="1">
        <f t="array" ref="E27">SUMPRODUCT(B29:B49*E29:E49)/B27</f>
        <v>85.9649776165483</v>
      </c>
      <c r="F27" s="3" cm="1">
        <f t="array" ref="F27">SUMPRODUCT(B29:B49*F29:F49)/B27</f>
        <v>96.4085558814449</v>
      </c>
      <c r="G27" s="3" cm="1">
        <f t="array" ref="G27">SUMPRODUCT(B29:B49*G29:G49)/B27</f>
        <v>6.52950756406298</v>
      </c>
      <c r="J27" s="116">
        <v>2019</v>
      </c>
      <c r="K27" s="2">
        <f>SUM(K29:K49)</f>
        <v>5054.2</v>
      </c>
      <c r="L27" s="3" cm="1">
        <f t="array" ref="L27">SUMPRODUCT(L29:L49*K29:K49)/K27</f>
        <v>264.846369356179</v>
      </c>
      <c r="M27" s="4" cm="1">
        <f t="array" ref="M27">SUMPRODUCT(K29:K49*M29:M49)/K27</f>
        <v>4.92758616596098</v>
      </c>
      <c r="N27" s="3" cm="1">
        <f t="array" ref="N27">SUMPRODUCT(K29:K49*N29:N49)/K27</f>
        <v>86.3394246369356</v>
      </c>
      <c r="O27" s="3" cm="1">
        <f t="array" ref="O27">SUMPRODUCT(K29:K49*O29:O49)/K27</f>
        <v>96.2939812433224</v>
      </c>
      <c r="P27" s="3" cm="1">
        <f t="array" ref="P27">SUMPRODUCT(K29:K49*P29:P49)/K27</f>
        <v>6.15265323889043</v>
      </c>
    </row>
    <row r="28" ht="16.5" spans="1:16">
      <c r="A28" s="6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G28" s="6" t="s">
        <v>438</v>
      </c>
      <c r="J28" s="6"/>
      <c r="K28" s="6" t="s">
        <v>0</v>
      </c>
      <c r="L28" s="6" t="s">
        <v>1</v>
      </c>
      <c r="M28" s="6" t="s">
        <v>2</v>
      </c>
      <c r="N28" s="6" t="s">
        <v>3</v>
      </c>
      <c r="O28" s="6" t="s">
        <v>4</v>
      </c>
      <c r="P28" s="6" t="s">
        <v>438</v>
      </c>
    </row>
    <row r="29" ht="16.5" spans="1:16">
      <c r="A29" s="39" t="s">
        <v>459</v>
      </c>
      <c r="B29" s="9">
        <v>500.2</v>
      </c>
      <c r="C29" s="10">
        <v>197</v>
      </c>
      <c r="D29" s="11">
        <v>5.22</v>
      </c>
      <c r="E29" s="12">
        <v>73.3</v>
      </c>
      <c r="F29" s="12">
        <v>91.7</v>
      </c>
      <c r="G29" s="28">
        <v>6.9</v>
      </c>
      <c r="J29" s="39" t="s">
        <v>460</v>
      </c>
      <c r="K29" s="9">
        <v>387.6</v>
      </c>
      <c r="L29" s="10">
        <v>281.8</v>
      </c>
      <c r="M29" s="11">
        <v>4.72</v>
      </c>
      <c r="N29" s="12">
        <v>90.3</v>
      </c>
      <c r="O29" s="12">
        <v>97.9</v>
      </c>
      <c r="P29" s="28">
        <v>5.3</v>
      </c>
    </row>
    <row r="30" ht="16.5" spans="1:16">
      <c r="A30" s="39" t="s">
        <v>461</v>
      </c>
      <c r="B30" s="9">
        <v>445.6</v>
      </c>
      <c r="C30" s="10">
        <v>194.3</v>
      </c>
      <c r="D30" s="11">
        <v>5.02</v>
      </c>
      <c r="E30" s="12">
        <v>70.7</v>
      </c>
      <c r="F30" s="12">
        <v>90.6</v>
      </c>
      <c r="G30" s="28">
        <v>4.3</v>
      </c>
      <c r="J30" s="39" t="s">
        <v>462</v>
      </c>
      <c r="K30" s="9">
        <v>445.6</v>
      </c>
      <c r="L30" s="10">
        <v>298.5</v>
      </c>
      <c r="M30" s="11">
        <v>4.91</v>
      </c>
      <c r="N30" s="12">
        <v>90.9</v>
      </c>
      <c r="O30" s="12">
        <v>98.6</v>
      </c>
      <c r="P30" s="28">
        <v>3.2</v>
      </c>
    </row>
    <row r="31" ht="16.5" spans="1:16">
      <c r="A31" s="39" t="s">
        <v>463</v>
      </c>
      <c r="B31" s="9">
        <v>477.4</v>
      </c>
      <c r="C31" s="10">
        <v>275</v>
      </c>
      <c r="D31" s="11">
        <v>4.66</v>
      </c>
      <c r="E31" s="12">
        <v>90.9</v>
      </c>
      <c r="F31" s="12">
        <v>98.2</v>
      </c>
      <c r="G31" s="28">
        <v>3.2</v>
      </c>
      <c r="J31" s="39" t="s">
        <v>464</v>
      </c>
      <c r="K31" s="9">
        <v>488.4</v>
      </c>
      <c r="L31" s="10">
        <v>299.4</v>
      </c>
      <c r="M31" s="11">
        <v>4.97</v>
      </c>
      <c r="N31" s="12">
        <v>86.5</v>
      </c>
      <c r="O31" s="12">
        <v>97.4</v>
      </c>
      <c r="P31" s="28">
        <v>6.1</v>
      </c>
    </row>
    <row r="32" ht="16.5" spans="1:16">
      <c r="A32" s="39" t="s">
        <v>465</v>
      </c>
      <c r="B32" s="9">
        <v>254.4</v>
      </c>
      <c r="C32" s="10">
        <v>282.3</v>
      </c>
      <c r="D32" s="11">
        <v>4.82</v>
      </c>
      <c r="E32" s="12">
        <v>88.7</v>
      </c>
      <c r="F32" s="12">
        <v>97.9</v>
      </c>
      <c r="G32" s="28">
        <v>6.4</v>
      </c>
      <c r="J32" s="39" t="s">
        <v>466</v>
      </c>
      <c r="K32" s="9">
        <v>515.4</v>
      </c>
      <c r="L32" s="10">
        <v>282.2</v>
      </c>
      <c r="M32" s="11">
        <v>5.27</v>
      </c>
      <c r="N32" s="12">
        <v>91.8</v>
      </c>
      <c r="O32" s="12">
        <v>98.4</v>
      </c>
      <c r="P32" s="28">
        <v>3.5</v>
      </c>
    </row>
    <row r="33" ht="16.5" spans="1:21">
      <c r="A33" s="39" t="s">
        <v>467</v>
      </c>
      <c r="B33" s="9">
        <v>511.4</v>
      </c>
      <c r="C33" s="10">
        <v>297.2</v>
      </c>
      <c r="D33" s="11">
        <v>4.97</v>
      </c>
      <c r="E33" s="12">
        <v>91</v>
      </c>
      <c r="F33" s="12">
        <v>98.7</v>
      </c>
      <c r="G33" s="28">
        <v>5.8</v>
      </c>
      <c r="J33" s="39" t="s">
        <v>468</v>
      </c>
      <c r="K33" s="9">
        <v>489.6</v>
      </c>
      <c r="L33" s="10">
        <v>207.1</v>
      </c>
      <c r="M33" s="11">
        <v>5.66</v>
      </c>
      <c r="N33" s="12">
        <v>79.7</v>
      </c>
      <c r="O33" s="12">
        <v>94.2</v>
      </c>
      <c r="P33" s="28">
        <v>6.4</v>
      </c>
    </row>
    <row r="34" ht="16.5" spans="1:21">
      <c r="A34" s="39" t="s">
        <v>469</v>
      </c>
      <c r="B34" s="9">
        <v>497.4</v>
      </c>
      <c r="C34" s="10">
        <v>293.7</v>
      </c>
      <c r="D34" s="11">
        <v>5.05</v>
      </c>
      <c r="E34" s="12">
        <v>89.4</v>
      </c>
      <c r="F34" s="12">
        <v>97.8</v>
      </c>
      <c r="G34" s="28">
        <v>5.8</v>
      </c>
      <c r="J34" s="39" t="s">
        <v>470</v>
      </c>
      <c r="K34" s="9">
        <v>496.4</v>
      </c>
      <c r="L34" s="10">
        <v>139.3</v>
      </c>
      <c r="M34" s="11">
        <v>3.61</v>
      </c>
      <c r="N34" s="12">
        <v>60.2</v>
      </c>
      <c r="O34" s="12">
        <v>84.6</v>
      </c>
      <c r="P34" s="28">
        <v>4.9</v>
      </c>
    </row>
    <row r="35" ht="16.5" spans="1:21">
      <c r="A35" s="39" t="s">
        <v>471</v>
      </c>
      <c r="B35" s="9">
        <v>488</v>
      </c>
      <c r="C35" s="10">
        <v>292</v>
      </c>
      <c r="D35" s="11">
        <v>5.05</v>
      </c>
      <c r="E35" s="12">
        <v>89.8</v>
      </c>
      <c r="F35" s="12">
        <v>98.3</v>
      </c>
      <c r="G35" s="28">
        <v>7.6</v>
      </c>
      <c r="J35" s="39" t="s">
        <v>472</v>
      </c>
      <c r="K35" s="9">
        <v>221.4</v>
      </c>
      <c r="L35" s="10">
        <v>274</v>
      </c>
      <c r="M35" s="11">
        <v>4.91</v>
      </c>
      <c r="N35" s="12">
        <v>87.7</v>
      </c>
      <c r="O35" s="12">
        <v>96.3</v>
      </c>
      <c r="P35" s="28">
        <v>5.7</v>
      </c>
    </row>
    <row r="36" ht="16.5" spans="1:21">
      <c r="A36" s="39" t="s">
        <v>473</v>
      </c>
      <c r="B36" s="9">
        <v>237.4</v>
      </c>
      <c r="C36" s="10">
        <v>290.3</v>
      </c>
      <c r="D36" s="11">
        <v>5.11</v>
      </c>
      <c r="E36" s="12">
        <v>83.5</v>
      </c>
      <c r="F36" s="12">
        <v>93.9</v>
      </c>
      <c r="G36" s="28">
        <v>7.1</v>
      </c>
      <c r="J36" s="39" t="s">
        <v>474</v>
      </c>
      <c r="K36" s="9">
        <v>515.4</v>
      </c>
      <c r="L36" s="10">
        <v>277.4</v>
      </c>
      <c r="M36" s="11">
        <v>4.94</v>
      </c>
      <c r="N36" s="12">
        <v>87.9</v>
      </c>
      <c r="O36" s="12">
        <v>96.4</v>
      </c>
      <c r="P36" s="28">
        <v>9.7</v>
      </c>
    </row>
    <row r="37" ht="16.5" spans="1:21">
      <c r="A37" s="39" t="s">
        <v>475</v>
      </c>
      <c r="B37" s="9">
        <v>304.6</v>
      </c>
      <c r="C37" s="10">
        <v>295.1</v>
      </c>
      <c r="D37" s="11">
        <v>4.63</v>
      </c>
      <c r="E37" s="12">
        <v>90.3</v>
      </c>
      <c r="F37" s="12">
        <v>96.9</v>
      </c>
      <c r="G37" s="28">
        <v>7.4</v>
      </c>
      <c r="J37" s="39" t="s">
        <v>476</v>
      </c>
      <c r="K37" s="9">
        <v>501.6</v>
      </c>
      <c r="L37" s="10">
        <v>277.3</v>
      </c>
      <c r="M37" s="11">
        <v>5.08</v>
      </c>
      <c r="N37" s="12">
        <v>93.2</v>
      </c>
      <c r="O37" s="12">
        <v>99.2</v>
      </c>
      <c r="P37" s="28">
        <v>7.1</v>
      </c>
    </row>
    <row r="38" ht="16.5" spans="1:21">
      <c r="A38" s="39" t="s">
        <v>477</v>
      </c>
      <c r="B38" s="9">
        <v>498.6</v>
      </c>
      <c r="C38" s="10">
        <v>290.7</v>
      </c>
      <c r="D38" s="11">
        <v>4.69</v>
      </c>
      <c r="E38" s="12">
        <v>88.6</v>
      </c>
      <c r="F38" s="12">
        <v>97.3</v>
      </c>
      <c r="G38" s="28">
        <v>7.4</v>
      </c>
      <c r="J38" s="39" t="s">
        <v>478</v>
      </c>
      <c r="K38" s="9">
        <v>497.8</v>
      </c>
      <c r="L38" s="10">
        <v>299.1</v>
      </c>
      <c r="M38" s="11">
        <v>5.38</v>
      </c>
      <c r="N38" s="12">
        <v>90.4</v>
      </c>
      <c r="O38" s="12">
        <v>98.2</v>
      </c>
      <c r="P38" s="28">
        <v>7.1</v>
      </c>
    </row>
    <row r="39" ht="16.5" spans="1:21">
      <c r="A39" s="39" t="s">
        <v>479</v>
      </c>
      <c r="B39" s="9">
        <v>450</v>
      </c>
      <c r="C39" s="10">
        <v>292.1</v>
      </c>
      <c r="D39" s="11">
        <v>4.69</v>
      </c>
      <c r="E39" s="12">
        <v>91.6</v>
      </c>
      <c r="F39" s="12">
        <v>98.7</v>
      </c>
      <c r="G39" s="28">
        <v>8.4</v>
      </c>
      <c r="J39" s="39" t="s">
        <v>480</v>
      </c>
      <c r="K39" s="9">
        <v>495</v>
      </c>
      <c r="L39" s="10">
        <v>287.9</v>
      </c>
      <c r="M39" s="11">
        <v>4.69</v>
      </c>
      <c r="N39" s="12">
        <v>92.8</v>
      </c>
      <c r="O39" s="12">
        <v>98.5</v>
      </c>
      <c r="P39" s="28">
        <v>7.9</v>
      </c>
    </row>
    <row r="40" ht="16.5" spans="1:21">
      <c r="A40" s="39" t="s">
        <v>481</v>
      </c>
      <c r="B40" s="9">
        <v>517.4</v>
      </c>
      <c r="C40" s="10">
        <v>208.8</v>
      </c>
      <c r="D40" s="11">
        <v>5.02</v>
      </c>
      <c r="E40" s="12">
        <v>84.7</v>
      </c>
      <c r="F40" s="12">
        <v>96.2</v>
      </c>
      <c r="G40" s="28">
        <v>8.4</v>
      </c>
    </row>
    <row r="41" ht="16.5" spans="1:21">
      <c r="S41" s="39" t="s">
        <v>482</v>
      </c>
      <c r="T41" s="9">
        <v>334.4</v>
      </c>
      <c r="U41" s="34">
        <v>24110293</v>
      </c>
    </row>
    <row r="42" ht="16.5" spans="1:21">
      <c r="S42" s="39" t="s">
        <v>483</v>
      </c>
      <c r="T42" s="9">
        <v>184.2</v>
      </c>
      <c r="U42" s="34">
        <v>24110450</v>
      </c>
    </row>
    <row r="43" ht="16.5" spans="1:21">
      <c r="S43" s="39" t="s">
        <v>484</v>
      </c>
      <c r="T43" s="9">
        <v>491</v>
      </c>
      <c r="U43" s="34">
        <v>24120172</v>
      </c>
    </row>
    <row r="44" ht="16.5" spans="1:21">
      <c r="S44" s="39" t="s">
        <v>485</v>
      </c>
      <c r="T44" s="9">
        <v>212</v>
      </c>
      <c r="U44" s="34">
        <v>24120186</v>
      </c>
    </row>
    <row r="45" ht="16.5" spans="1:21">
      <c r="S45" s="39" t="s">
        <v>486</v>
      </c>
      <c r="T45" s="9">
        <v>502</v>
      </c>
      <c r="U45" s="34">
        <v>24120542</v>
      </c>
    </row>
    <row r="46" ht="16.5" spans="1:21">
      <c r="S46" s="39" t="s">
        <v>487</v>
      </c>
      <c r="T46" s="9">
        <v>448.4</v>
      </c>
      <c r="U46" s="34">
        <v>25010258</v>
      </c>
    </row>
    <row r="47" ht="16.5" spans="1:21">
      <c r="S47" s="39" t="s">
        <v>488</v>
      </c>
      <c r="T47" s="9">
        <v>469.8</v>
      </c>
      <c r="U47" s="34">
        <v>25010540</v>
      </c>
    </row>
    <row r="48" ht="16.5" spans="1:21">
      <c r="S48" s="39" t="s">
        <v>489</v>
      </c>
      <c r="T48" s="9">
        <v>486.6</v>
      </c>
      <c r="U48" s="34">
        <v>25010379</v>
      </c>
    </row>
    <row r="49" ht="16.5" spans="1:21">
      <c r="S49" s="39" t="s">
        <v>490</v>
      </c>
      <c r="T49" s="9">
        <v>483</v>
      </c>
      <c r="U49" s="34">
        <v>25020121</v>
      </c>
    </row>
    <row r="50" ht="16.5" spans="1:21">
      <c r="S50" s="39" t="s">
        <v>491</v>
      </c>
      <c r="T50" s="9">
        <v>510.6</v>
      </c>
      <c r="U50" s="34">
        <v>25020122</v>
      </c>
    </row>
    <row r="51" ht="16.5" spans="1:21">
      <c r="A51" s="116">
        <v>2020</v>
      </c>
      <c r="B51" s="2">
        <f>SUM(B53:B73)</f>
        <v>5075.8</v>
      </c>
      <c r="C51" s="3" cm="1">
        <f t="array" ref="C51">SUMPRODUCT(C53:C73*B53:B73)/B51</f>
        <v>264.004350053194</v>
      </c>
      <c r="D51" s="4" cm="1">
        <f t="array" ref="D51">SUMPRODUCT(B53:B73*D53:D73)/B51</f>
        <v>4.93994995862721</v>
      </c>
      <c r="E51" s="3" cm="1">
        <f t="array" ref="E51">SUMPRODUCT(B53:B73*E53:E73)/B51</f>
        <v>87.2612317270184</v>
      </c>
      <c r="F51" s="3" cm="1">
        <f t="array" ref="F51">SUMPRODUCT(B53:B73*F53:F73)/B51</f>
        <v>96.7047283186887</v>
      </c>
      <c r="G51" s="3" cm="1">
        <f t="array" ref="G51">SUMPRODUCT(B53:B73*G53:G73)/B51</f>
        <v>6.12051302257772</v>
      </c>
      <c r="J51" s="116">
        <v>2020</v>
      </c>
      <c r="K51" s="2">
        <f>SUM(K53:K73)</f>
        <v>5068.4</v>
      </c>
      <c r="L51" s="3" cm="1">
        <f t="array" ref="L51">SUMPRODUCT(L53:L73*K53:K73)/K51</f>
        <v>263.055966379923</v>
      </c>
      <c r="M51" s="4" cm="1">
        <f t="array" ref="M51">SUMPRODUCT(K53:K73*M53:M73)/K51</f>
        <v>4.92895351590245</v>
      </c>
      <c r="N51" s="3" cm="1">
        <f t="array" ref="N51">SUMPRODUCT(K53:K73*N53:N73)/K51</f>
        <v>86.5629705627022</v>
      </c>
      <c r="O51" s="3" cm="1">
        <f t="array" ref="O51">SUMPRODUCT(K53:K73*O53:O73)/K51</f>
        <v>96.1836476994712</v>
      </c>
      <c r="P51" s="3" cm="1">
        <f t="array" ref="P51">SUMPRODUCT(K53:K73*P53:P73)/K51</f>
        <v>6.57617394049404</v>
      </c>
      <c r="S51" s="39" t="s">
        <v>492</v>
      </c>
      <c r="T51" s="9">
        <v>485.2</v>
      </c>
      <c r="U51" s="34">
        <v>24120236</v>
      </c>
    </row>
    <row r="52" ht="16.5" spans="1:21">
      <c r="A52" s="6"/>
      <c r="B52" s="6" t="s">
        <v>0</v>
      </c>
      <c r="C52" s="6" t="s">
        <v>1</v>
      </c>
      <c r="D52" s="6" t="s">
        <v>2</v>
      </c>
      <c r="E52" s="6" t="s">
        <v>3</v>
      </c>
      <c r="F52" s="6" t="s">
        <v>4</v>
      </c>
      <c r="G52" s="6" t="s">
        <v>438</v>
      </c>
      <c r="J52" s="6"/>
      <c r="K52" s="6" t="s">
        <v>0</v>
      </c>
      <c r="L52" s="6" t="s">
        <v>1</v>
      </c>
      <c r="M52" s="6" t="s">
        <v>2</v>
      </c>
      <c r="N52" s="6" t="s">
        <v>3</v>
      </c>
      <c r="O52" s="6" t="s">
        <v>4</v>
      </c>
      <c r="P52" s="6" t="s">
        <v>438</v>
      </c>
      <c r="S52" s="39" t="s">
        <v>493</v>
      </c>
      <c r="T52" s="9">
        <v>468.6</v>
      </c>
      <c r="U52" s="34">
        <v>25020182</v>
      </c>
    </row>
    <row r="53" ht="16.5" spans="1:21">
      <c r="A53" s="39" t="s">
        <v>482</v>
      </c>
      <c r="B53" s="9">
        <v>334.4</v>
      </c>
      <c r="C53" s="10">
        <v>279.6</v>
      </c>
      <c r="D53" s="11">
        <v>4.57</v>
      </c>
      <c r="E53" s="12">
        <v>89.4</v>
      </c>
      <c r="F53" s="12">
        <v>98.4</v>
      </c>
      <c r="G53" s="35">
        <v>4.6</v>
      </c>
      <c r="H53" s="34">
        <v>24110293</v>
      </c>
      <c r="J53" s="39" t="s">
        <v>494</v>
      </c>
      <c r="K53" s="9">
        <v>461.6</v>
      </c>
      <c r="L53" s="10">
        <v>286.3</v>
      </c>
      <c r="M53" s="11">
        <v>5.49</v>
      </c>
      <c r="N53" s="12">
        <v>92.2</v>
      </c>
      <c r="O53" s="12">
        <v>98.4</v>
      </c>
      <c r="P53" s="35">
        <v>3.5</v>
      </c>
      <c r="Q53" s="34">
        <v>24110456</v>
      </c>
    </row>
    <row r="54" ht="16.5" spans="1:21">
      <c r="A54" s="39" t="s">
        <v>483</v>
      </c>
      <c r="B54" s="9">
        <v>184.2</v>
      </c>
      <c r="C54" s="10">
        <v>297.5</v>
      </c>
      <c r="D54" s="11">
        <v>5.3</v>
      </c>
      <c r="E54" s="12">
        <v>91.6</v>
      </c>
      <c r="F54" s="12">
        <v>98.2</v>
      </c>
      <c r="G54" s="35">
        <v>3.5</v>
      </c>
      <c r="H54" s="34">
        <v>24110450</v>
      </c>
      <c r="J54" s="39" t="s">
        <v>495</v>
      </c>
      <c r="K54" s="9">
        <v>216.4</v>
      </c>
      <c r="L54" s="10">
        <v>288.5</v>
      </c>
      <c r="M54" s="11">
        <v>5</v>
      </c>
      <c r="N54" s="12">
        <v>91.3</v>
      </c>
      <c r="O54" s="12">
        <v>98.2</v>
      </c>
      <c r="P54" s="35">
        <v>5.2</v>
      </c>
      <c r="Q54" s="34">
        <v>24110471</v>
      </c>
    </row>
    <row r="55" ht="16.5" spans="1:21">
      <c r="A55" s="39" t="s">
        <v>484</v>
      </c>
      <c r="B55" s="9">
        <v>491</v>
      </c>
      <c r="C55" s="10">
        <v>272.5</v>
      </c>
      <c r="D55" s="11">
        <v>4.77</v>
      </c>
      <c r="E55" s="12">
        <v>91.8</v>
      </c>
      <c r="F55" s="12">
        <v>96.3</v>
      </c>
      <c r="G55" s="35">
        <v>4.8</v>
      </c>
      <c r="H55" s="34">
        <v>24120172</v>
      </c>
      <c r="J55" s="39" t="s">
        <v>496</v>
      </c>
      <c r="K55" s="9">
        <v>489.4</v>
      </c>
      <c r="L55" s="10">
        <v>270.7</v>
      </c>
      <c r="M55" s="11">
        <v>4.91</v>
      </c>
      <c r="N55" s="12">
        <v>91.6</v>
      </c>
      <c r="O55" s="12">
        <v>98.4</v>
      </c>
      <c r="P55" s="35">
        <v>5.2</v>
      </c>
      <c r="Q55" s="34">
        <v>24110473</v>
      </c>
    </row>
    <row r="56" ht="16.5" spans="1:21">
      <c r="A56" s="39" t="s">
        <v>485</v>
      </c>
      <c r="B56" s="9">
        <v>212</v>
      </c>
      <c r="C56" s="10">
        <v>278.3</v>
      </c>
      <c r="D56" s="11">
        <v>4.94</v>
      </c>
      <c r="E56" s="12">
        <v>88.5</v>
      </c>
      <c r="F56" s="12">
        <v>97.3</v>
      </c>
      <c r="G56" s="35">
        <v>4.3</v>
      </c>
      <c r="H56" s="34">
        <v>24120186</v>
      </c>
      <c r="J56" s="39" t="s">
        <v>497</v>
      </c>
      <c r="K56" s="9">
        <v>515</v>
      </c>
      <c r="L56" s="10">
        <v>278.1</v>
      </c>
      <c r="M56" s="11">
        <v>4.77</v>
      </c>
      <c r="N56" s="12">
        <v>93.4</v>
      </c>
      <c r="O56" s="12">
        <v>98.8</v>
      </c>
      <c r="P56" s="35">
        <v>6.4</v>
      </c>
      <c r="Q56" s="34">
        <v>24110496</v>
      </c>
      <c r="S56" s="39" t="s">
        <v>494</v>
      </c>
      <c r="T56" s="9">
        <v>461.6</v>
      </c>
      <c r="U56" s="34">
        <v>24110456</v>
      </c>
    </row>
    <row r="57" ht="16.5" spans="1:21">
      <c r="A57" s="39" t="s">
        <v>486</v>
      </c>
      <c r="B57" s="9">
        <v>502</v>
      </c>
      <c r="C57" s="10">
        <v>198.8</v>
      </c>
      <c r="D57" s="11">
        <v>5</v>
      </c>
      <c r="E57" s="12">
        <v>62.7</v>
      </c>
      <c r="F57" s="12">
        <v>85.8</v>
      </c>
      <c r="G57" s="35">
        <v>3.8</v>
      </c>
      <c r="H57" s="34">
        <v>24120542</v>
      </c>
      <c r="J57" s="39" t="s">
        <v>498</v>
      </c>
      <c r="K57" s="9">
        <v>460.2</v>
      </c>
      <c r="L57" s="10">
        <v>278.9</v>
      </c>
      <c r="M57" s="11">
        <v>4.82</v>
      </c>
      <c r="N57" s="12">
        <v>93.2</v>
      </c>
      <c r="O57" s="12">
        <v>98.6</v>
      </c>
      <c r="P57" s="35">
        <v>6.4</v>
      </c>
      <c r="Q57" s="34">
        <v>24110497</v>
      </c>
      <c r="S57" s="39" t="s">
        <v>495</v>
      </c>
      <c r="T57" s="9">
        <v>216.4</v>
      </c>
      <c r="U57" s="34">
        <v>24110471</v>
      </c>
    </row>
    <row r="58" ht="16.5" spans="1:21">
      <c r="A58" s="39" t="s">
        <v>487</v>
      </c>
      <c r="B58" s="9">
        <v>448.4</v>
      </c>
      <c r="C58" s="10">
        <v>280.1</v>
      </c>
      <c r="D58" s="11">
        <v>4.77</v>
      </c>
      <c r="E58" s="12">
        <v>87.5</v>
      </c>
      <c r="F58" s="12">
        <v>96.3</v>
      </c>
      <c r="G58" s="35">
        <v>6</v>
      </c>
      <c r="H58" s="34">
        <v>25010258</v>
      </c>
      <c r="J58" s="39" t="s">
        <v>499</v>
      </c>
      <c r="K58" s="9">
        <v>275.6</v>
      </c>
      <c r="L58" s="10">
        <v>278</v>
      </c>
      <c r="M58" s="11">
        <v>5</v>
      </c>
      <c r="N58" s="12">
        <v>93</v>
      </c>
      <c r="O58" s="12">
        <v>98.5</v>
      </c>
      <c r="P58" s="35">
        <v>6.4</v>
      </c>
      <c r="Q58" s="34">
        <v>24110498</v>
      </c>
      <c r="S58" s="39" t="s">
        <v>496</v>
      </c>
      <c r="T58" s="9">
        <v>489.4</v>
      </c>
      <c r="U58" s="34">
        <v>24110473</v>
      </c>
    </row>
    <row r="59" ht="16.5" spans="1:21">
      <c r="A59" s="39" t="s">
        <v>488</v>
      </c>
      <c r="B59" s="9">
        <v>469.8</v>
      </c>
      <c r="C59" s="10">
        <v>281.1</v>
      </c>
      <c r="D59" s="11">
        <v>4.72</v>
      </c>
      <c r="E59" s="12">
        <v>90.3</v>
      </c>
      <c r="F59" s="12">
        <v>98.3</v>
      </c>
      <c r="G59" s="35">
        <v>8.8</v>
      </c>
      <c r="H59" s="34">
        <v>25010540</v>
      </c>
      <c r="J59" s="39" t="s">
        <v>500</v>
      </c>
      <c r="K59" s="9">
        <v>479.2</v>
      </c>
      <c r="L59" s="10">
        <v>199.7</v>
      </c>
      <c r="M59" s="11">
        <v>5</v>
      </c>
      <c r="N59" s="12">
        <v>60</v>
      </c>
      <c r="O59" s="12">
        <v>84.7</v>
      </c>
      <c r="P59" s="35">
        <v>8.5</v>
      </c>
      <c r="Q59" s="34">
        <v>24120544</v>
      </c>
      <c r="S59" s="39" t="s">
        <v>497</v>
      </c>
      <c r="T59" s="9">
        <v>515</v>
      </c>
      <c r="U59" s="34">
        <v>24110496</v>
      </c>
    </row>
    <row r="60" ht="16.5" spans="1:21">
      <c r="A60" s="39" t="s">
        <v>489</v>
      </c>
      <c r="B60" s="9">
        <v>486.6</v>
      </c>
      <c r="C60" s="10">
        <v>275.3</v>
      </c>
      <c r="D60" s="11">
        <v>4.82</v>
      </c>
      <c r="E60" s="12">
        <v>91.7</v>
      </c>
      <c r="F60" s="12">
        <v>99</v>
      </c>
      <c r="G60" s="35">
        <v>6.6</v>
      </c>
      <c r="H60" s="34">
        <v>25010379</v>
      </c>
      <c r="J60" s="39" t="s">
        <v>501</v>
      </c>
      <c r="K60" s="9">
        <v>523.8</v>
      </c>
      <c r="L60" s="10">
        <v>267</v>
      </c>
      <c r="M60" s="11">
        <v>4.82</v>
      </c>
      <c r="N60" s="12">
        <v>90.9</v>
      </c>
      <c r="O60" s="12">
        <v>98.2</v>
      </c>
      <c r="P60" s="35">
        <v>6</v>
      </c>
      <c r="Q60" s="34">
        <v>25010149</v>
      </c>
      <c r="S60" s="39" t="s">
        <v>498</v>
      </c>
      <c r="T60" s="9">
        <v>460.2</v>
      </c>
      <c r="U60" s="34">
        <v>24110497</v>
      </c>
    </row>
    <row r="61" ht="16.5" spans="1:21">
      <c r="A61" s="39" t="s">
        <v>490</v>
      </c>
      <c r="B61" s="9">
        <v>483</v>
      </c>
      <c r="C61" s="10">
        <v>256.6</v>
      </c>
      <c r="D61" s="11">
        <v>4.8</v>
      </c>
      <c r="E61" s="12">
        <v>91.3</v>
      </c>
      <c r="F61" s="12">
        <v>98.9</v>
      </c>
      <c r="G61" s="35">
        <v>6.9</v>
      </c>
      <c r="H61" s="34">
        <v>25020121</v>
      </c>
      <c r="J61" s="39" t="s">
        <v>502</v>
      </c>
      <c r="K61" s="9">
        <v>499.4</v>
      </c>
      <c r="L61" s="10">
        <v>272</v>
      </c>
      <c r="M61" s="11">
        <v>4.77</v>
      </c>
      <c r="N61" s="12">
        <v>91.2</v>
      </c>
      <c r="O61" s="12">
        <v>98.5</v>
      </c>
      <c r="P61" s="35">
        <v>8.1</v>
      </c>
      <c r="Q61" s="34">
        <v>25010150</v>
      </c>
      <c r="S61" s="39" t="s">
        <v>499</v>
      </c>
      <c r="T61" s="9">
        <v>275.6</v>
      </c>
      <c r="U61" s="34">
        <v>24110498</v>
      </c>
    </row>
    <row r="62" ht="16.5" spans="1:21">
      <c r="A62" s="39" t="s">
        <v>491</v>
      </c>
      <c r="B62" s="9">
        <v>510.6</v>
      </c>
      <c r="C62" s="10">
        <v>264.7</v>
      </c>
      <c r="D62" s="11">
        <v>4.77</v>
      </c>
      <c r="E62" s="12">
        <v>92.1</v>
      </c>
      <c r="F62" s="12">
        <v>99.2</v>
      </c>
      <c r="G62" s="35">
        <v>6.9</v>
      </c>
      <c r="H62" s="34">
        <v>25020122</v>
      </c>
      <c r="J62" s="39" t="s">
        <v>503</v>
      </c>
      <c r="K62" s="9">
        <v>499.2</v>
      </c>
      <c r="L62" s="10">
        <v>206.3</v>
      </c>
      <c r="M62" s="11">
        <v>5</v>
      </c>
      <c r="N62" s="12">
        <v>70.3</v>
      </c>
      <c r="O62" s="12">
        <v>89.5</v>
      </c>
      <c r="P62" s="35">
        <v>8.1</v>
      </c>
      <c r="Q62" s="34">
        <v>25010524</v>
      </c>
      <c r="S62" s="39" t="s">
        <v>500</v>
      </c>
      <c r="T62" s="9">
        <v>479.2</v>
      </c>
      <c r="U62" s="34">
        <v>24120544</v>
      </c>
    </row>
    <row r="63" ht="16.5" spans="1:21">
      <c r="A63" s="39" t="s">
        <v>492</v>
      </c>
      <c r="B63" s="9">
        <v>485.2</v>
      </c>
      <c r="C63" s="10">
        <v>244.2</v>
      </c>
      <c r="D63" s="11">
        <v>6.16</v>
      </c>
      <c r="E63" s="12">
        <v>83.5</v>
      </c>
      <c r="F63" s="12">
        <v>95.9</v>
      </c>
      <c r="G63" s="35">
        <v>6.9</v>
      </c>
      <c r="H63" s="34">
        <v>24120236</v>
      </c>
      <c r="J63" s="39" t="s">
        <v>504</v>
      </c>
      <c r="K63" s="9">
        <v>215</v>
      </c>
      <c r="L63" s="10">
        <v>281</v>
      </c>
      <c r="M63" s="11">
        <v>4.75</v>
      </c>
      <c r="N63" s="12">
        <v>89.5</v>
      </c>
      <c r="O63" s="12">
        <v>97.1</v>
      </c>
      <c r="P63" s="35">
        <v>7.1</v>
      </c>
      <c r="Q63" s="34">
        <v>25010286</v>
      </c>
      <c r="S63" s="39" t="s">
        <v>501</v>
      </c>
      <c r="T63" s="9">
        <v>523.8</v>
      </c>
      <c r="U63" s="34">
        <v>25010149</v>
      </c>
    </row>
    <row r="64" ht="16.5" spans="1:21">
      <c r="A64" s="39" t="s">
        <v>493</v>
      </c>
      <c r="B64" s="9">
        <v>468.6</v>
      </c>
      <c r="C64" s="10">
        <v>277.3</v>
      </c>
      <c r="D64" s="11">
        <v>4.75</v>
      </c>
      <c r="E64" s="12">
        <v>91.6</v>
      </c>
      <c r="F64" s="12">
        <v>99</v>
      </c>
      <c r="G64" s="35">
        <v>7.4</v>
      </c>
      <c r="H64" s="34">
        <v>25020182</v>
      </c>
      <c r="J64" s="39" t="s">
        <v>505</v>
      </c>
      <c r="K64" s="9">
        <v>433.6</v>
      </c>
      <c r="L64" s="10">
        <v>284.2</v>
      </c>
      <c r="M64" s="11">
        <v>4.82</v>
      </c>
      <c r="N64" s="12">
        <v>89.3</v>
      </c>
      <c r="O64" s="12">
        <v>98</v>
      </c>
      <c r="P64" s="35">
        <v>7.4</v>
      </c>
      <c r="Q64" s="34">
        <v>24120336</v>
      </c>
      <c r="S64" s="39" t="s">
        <v>502</v>
      </c>
      <c r="T64" s="9">
        <v>499.4</v>
      </c>
      <c r="U64" s="34">
        <v>25010150</v>
      </c>
    </row>
    <row r="65" ht="16.5" spans="19:21">
      <c r="S65" s="39" t="s">
        <v>503</v>
      </c>
      <c r="T65" s="9">
        <v>499.2</v>
      </c>
      <c r="U65" s="34">
        <v>25010524</v>
      </c>
    </row>
    <row r="66" ht="16.5" spans="19:21">
      <c r="S66" s="39" t="s">
        <v>504</v>
      </c>
      <c r="T66" s="9">
        <v>215</v>
      </c>
      <c r="U66" s="34">
        <v>25010286</v>
      </c>
    </row>
    <row r="67" ht="16.5" spans="19:21">
      <c r="S67" s="39" t="s">
        <v>505</v>
      </c>
      <c r="T67" s="9">
        <v>433.6</v>
      </c>
      <c r="U67" s="34">
        <v>24120336</v>
      </c>
    </row>
    <row r="70" ht="16.5" spans="19:21">
      <c r="S70" s="23" t="s">
        <v>441</v>
      </c>
      <c r="T70" s="14">
        <v>25020096</v>
      </c>
    </row>
  </sheetData>
  <conditionalFormatting sqref="A1">
    <cfRule type="duplicateValues" dxfId="0" priority="11"/>
  </conditionalFormatting>
  <conditionalFormatting sqref="J1">
    <cfRule type="duplicateValues" dxfId="0" priority="1"/>
  </conditionalFormatting>
  <conditionalFormatting sqref="A2">
    <cfRule type="duplicateValues" dxfId="0" priority="12"/>
  </conditionalFormatting>
  <conditionalFormatting sqref="J2">
    <cfRule type="duplicateValues" dxfId="0" priority="2"/>
  </conditionalFormatting>
  <conditionalFormatting sqref="A27">
    <cfRule type="duplicateValues" dxfId="0" priority="9"/>
  </conditionalFormatting>
  <conditionalFormatting sqref="J27">
    <cfRule type="duplicateValues" dxfId="0" priority="7"/>
  </conditionalFormatting>
  <conditionalFormatting sqref="A28">
    <cfRule type="duplicateValues" dxfId="0" priority="10"/>
  </conditionalFormatting>
  <conditionalFormatting sqref="J28">
    <cfRule type="duplicateValues" dxfId="0" priority="8"/>
  </conditionalFormatting>
  <conditionalFormatting sqref="A51">
    <cfRule type="duplicateValues" dxfId="0" priority="5"/>
  </conditionalFormatting>
  <conditionalFormatting sqref="J51">
    <cfRule type="duplicateValues" dxfId="0" priority="3"/>
  </conditionalFormatting>
  <conditionalFormatting sqref="A52">
    <cfRule type="duplicateValues" dxfId="0" priority="6"/>
  </conditionalFormatting>
  <conditionalFormatting sqref="J52">
    <cfRule type="duplicateValues" dxfId="0" priority="4"/>
  </conditionalFormatting>
  <dataValidations count="1">
    <dataValidation allowBlank="1" showInputMessage="1" showErrorMessage="1" sqref="T41:T52 T56:T67 K3:L10 B29:C40 B53:C64 K29:L39 B3:C13 K53:L64"/>
  </dataValidations>
  <pageMargins left="0.75" right="0.75" top="1" bottom="1" header="0.5" footer="0.5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K19" sqref="K19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220</v>
      </c>
      <c r="B1" s="2">
        <f>SUM(B3:B23)</f>
        <v>5110.2</v>
      </c>
      <c r="C1" s="3" cm="1">
        <f t="array" ref="C1">SUMPRODUCT(C3:C23*B3:B23)/B1</f>
        <v>178.485139524872</v>
      </c>
      <c r="D1" s="4" cm="1">
        <f t="array" ref="D1">SUMPRODUCT(B3:B23*D3:D23)/B1</f>
        <v>3.96942663692223</v>
      </c>
      <c r="E1" s="3" cm="1">
        <f t="array" ref="E1">SUMPRODUCT(B3:B23*E3:E23)/B1</f>
        <v>78.9203240577668</v>
      </c>
      <c r="F1" s="3" cm="1">
        <f t="array" ref="F1">SUMPRODUCT(B3:B23*F3:F23)/B1</f>
        <v>94.2822707526124</v>
      </c>
    </row>
    <row r="2" ht="16.5" spans="1:7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506</v>
      </c>
      <c r="B3" s="9">
        <v>473.4</v>
      </c>
      <c r="C3" s="10">
        <v>130.2</v>
      </c>
      <c r="D3" s="11">
        <v>3.12</v>
      </c>
      <c r="E3" s="12">
        <v>82.4</v>
      </c>
      <c r="F3" s="12">
        <v>96.2</v>
      </c>
      <c r="G3" s="34">
        <v>25020369</v>
      </c>
    </row>
    <row r="4" ht="16.5" spans="1:7">
      <c r="A4" s="39" t="s">
        <v>507</v>
      </c>
      <c r="B4" s="9">
        <v>352.4</v>
      </c>
      <c r="C4" s="10">
        <v>119.9</v>
      </c>
      <c r="D4" s="11">
        <v>2.87</v>
      </c>
      <c r="E4" s="12">
        <v>83.2</v>
      </c>
      <c r="F4" s="12">
        <v>96.5</v>
      </c>
      <c r="G4" s="34">
        <v>25020370</v>
      </c>
    </row>
    <row r="5" ht="16.5" spans="1:7">
      <c r="A5" s="39" t="s">
        <v>508</v>
      </c>
      <c r="B5" s="9">
        <v>509.4</v>
      </c>
      <c r="C5" s="10">
        <v>106.2</v>
      </c>
      <c r="D5" s="11">
        <v>2.67</v>
      </c>
      <c r="E5" s="12">
        <v>78.8</v>
      </c>
      <c r="F5" s="12">
        <v>95.2</v>
      </c>
      <c r="G5" s="34">
        <v>25020371</v>
      </c>
    </row>
    <row r="6" ht="16.5" spans="1:7">
      <c r="A6" s="39" t="s">
        <v>509</v>
      </c>
      <c r="B6" s="9">
        <v>512</v>
      </c>
      <c r="C6" s="10">
        <v>91.4</v>
      </c>
      <c r="D6" s="11">
        <v>2.38</v>
      </c>
      <c r="E6" s="12">
        <v>71.8</v>
      </c>
      <c r="F6" s="12">
        <v>92.5</v>
      </c>
      <c r="G6" s="34">
        <v>25020372</v>
      </c>
    </row>
    <row r="7" ht="16.5" spans="1:7">
      <c r="A7" s="39" t="s">
        <v>510</v>
      </c>
      <c r="B7" s="9">
        <v>538</v>
      </c>
      <c r="C7" s="10">
        <v>91</v>
      </c>
      <c r="D7" s="11">
        <v>2.31</v>
      </c>
      <c r="E7" s="12">
        <v>70.4</v>
      </c>
      <c r="F7" s="12">
        <v>91.8</v>
      </c>
      <c r="G7" s="34">
        <v>25020373</v>
      </c>
    </row>
    <row r="8" ht="16.5" spans="1:7">
      <c r="A8" s="68" t="s">
        <v>511</v>
      </c>
      <c r="B8" s="9">
        <v>499</v>
      </c>
      <c r="C8" s="10">
        <v>186</v>
      </c>
      <c r="D8" s="11">
        <v>5.22</v>
      </c>
      <c r="E8" s="12">
        <v>58.5</v>
      </c>
      <c r="F8" s="12">
        <v>85</v>
      </c>
      <c r="G8" s="34">
        <v>25020198</v>
      </c>
    </row>
    <row r="9" ht="16.5" spans="1:7">
      <c r="A9" s="39" t="s">
        <v>512</v>
      </c>
      <c r="B9" s="9">
        <v>341.4</v>
      </c>
      <c r="C9" s="10">
        <v>277.2</v>
      </c>
      <c r="D9" s="11">
        <v>5</v>
      </c>
      <c r="E9" s="12">
        <v>90.2</v>
      </c>
      <c r="F9" s="12">
        <v>98</v>
      </c>
      <c r="G9" s="34">
        <v>25020320</v>
      </c>
    </row>
    <row r="10" ht="16.5" spans="1:7">
      <c r="A10" s="39" t="s">
        <v>513</v>
      </c>
      <c r="B10" s="9">
        <v>503.8</v>
      </c>
      <c r="C10" s="10">
        <v>265.4</v>
      </c>
      <c r="D10" s="11">
        <v>5.11</v>
      </c>
      <c r="E10" s="12">
        <v>89.5</v>
      </c>
      <c r="F10" s="12">
        <v>98.1</v>
      </c>
      <c r="G10" s="34">
        <v>25020358</v>
      </c>
    </row>
    <row r="11" ht="16.5" spans="1:7">
      <c r="A11" s="39" t="s">
        <v>514</v>
      </c>
      <c r="B11" s="9">
        <v>504.4</v>
      </c>
      <c r="C11" s="10">
        <v>263.5</v>
      </c>
      <c r="D11" s="11">
        <v>5</v>
      </c>
      <c r="E11" s="12">
        <v>89.1</v>
      </c>
      <c r="F11" s="12">
        <v>97.9</v>
      </c>
      <c r="G11" s="34">
        <v>25020359</v>
      </c>
    </row>
    <row r="12" ht="16.5" spans="1:7">
      <c r="A12" s="39" t="s">
        <v>515</v>
      </c>
      <c r="B12" s="9">
        <v>495</v>
      </c>
      <c r="C12" s="10">
        <v>201.5</v>
      </c>
      <c r="D12" s="11">
        <v>5.08</v>
      </c>
      <c r="E12" s="12">
        <v>72.5</v>
      </c>
      <c r="F12" s="12">
        <v>90.9</v>
      </c>
      <c r="G12" s="34">
        <v>25020277</v>
      </c>
    </row>
    <row r="13" ht="16.5" spans="1:7">
      <c r="A13" s="75" t="s">
        <v>516</v>
      </c>
      <c r="B13" s="9">
        <v>381.4</v>
      </c>
      <c r="C13" s="10">
        <v>274.1</v>
      </c>
      <c r="D13" s="11">
        <v>5.38</v>
      </c>
      <c r="E13" s="12">
        <v>89.9</v>
      </c>
      <c r="F13" s="12">
        <v>97.9</v>
      </c>
      <c r="G13" s="9">
        <v>25020234</v>
      </c>
    </row>
    <row r="27" ht="16.5" spans="1:7">
      <c r="A27" s="116">
        <v>221</v>
      </c>
      <c r="B27" s="2">
        <f>SUM(B29:B49)</f>
        <v>4021.2</v>
      </c>
      <c r="C27" s="3" cm="1">
        <f t="array" ref="C27">SUMPRODUCT(C29:C49*B29:B49)/B27</f>
        <v>179.505396399085</v>
      </c>
      <c r="D27" s="4" cm="1">
        <f t="array" ref="D27">SUMPRODUCT(B29:B49*D29:D49)/B27</f>
        <v>4.02171540833582</v>
      </c>
      <c r="E27" s="3" cm="1">
        <f t="array" ref="E27">SUMPRODUCT(B29:B49*E29:E49)/B27</f>
        <v>79.0291505023376</v>
      </c>
      <c r="F27" s="3" cm="1">
        <f t="array" ref="F27">SUMPRODUCT(B29:B49*F29:F49)/B27</f>
        <v>94.268561623396</v>
      </c>
    </row>
    <row r="28" ht="16.5" spans="1:7">
      <c r="A28" s="6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</row>
    <row r="29" ht="16.5" spans="1:7">
      <c r="A29" s="39" t="s">
        <v>517</v>
      </c>
      <c r="B29" s="9">
        <v>0</v>
      </c>
      <c r="C29" s="10">
        <v>174.7</v>
      </c>
      <c r="D29" s="11">
        <v>4.08</v>
      </c>
      <c r="E29" s="12">
        <v>79.8</v>
      </c>
      <c r="F29" s="12">
        <v>94.5</v>
      </c>
      <c r="G29" s="9">
        <v>25020367</v>
      </c>
    </row>
    <row r="30" ht="16.5" spans="1:7">
      <c r="A30" s="39" t="s">
        <v>518</v>
      </c>
      <c r="B30" s="9">
        <v>505.4</v>
      </c>
      <c r="C30" s="10">
        <v>150.7</v>
      </c>
      <c r="D30" s="11">
        <v>3.79</v>
      </c>
      <c r="E30" s="12">
        <v>79.2</v>
      </c>
      <c r="F30" s="12">
        <v>94.7</v>
      </c>
      <c r="G30" s="34">
        <v>25020397</v>
      </c>
    </row>
    <row r="31" ht="16.5" spans="1:7">
      <c r="A31" s="39" t="s">
        <v>519</v>
      </c>
      <c r="B31" s="9">
        <v>504.6</v>
      </c>
      <c r="C31" s="10">
        <v>133.7</v>
      </c>
      <c r="D31" s="11">
        <v>3.34</v>
      </c>
      <c r="E31" s="12">
        <v>78.3</v>
      </c>
      <c r="F31" s="12">
        <v>94.5</v>
      </c>
      <c r="G31" s="34">
        <v>25020398</v>
      </c>
    </row>
    <row r="32" ht="16.5" spans="1:7">
      <c r="A32" s="39" t="s">
        <v>520</v>
      </c>
      <c r="B32" s="9">
        <v>513.2</v>
      </c>
      <c r="C32" s="10">
        <v>136.4</v>
      </c>
      <c r="D32" s="11">
        <v>3.36</v>
      </c>
      <c r="E32" s="12">
        <v>78.2</v>
      </c>
      <c r="F32" s="12">
        <v>94.5</v>
      </c>
      <c r="G32" s="34">
        <v>25020399</v>
      </c>
    </row>
    <row r="33" ht="16.5" spans="1:7">
      <c r="A33" s="39" t="s">
        <v>521</v>
      </c>
      <c r="B33" s="9">
        <v>202.4</v>
      </c>
      <c r="C33" s="10">
        <v>244.9</v>
      </c>
      <c r="D33" s="11">
        <v>3.91</v>
      </c>
      <c r="E33" s="12">
        <v>79.6</v>
      </c>
      <c r="F33" s="12">
        <v>93.3</v>
      </c>
      <c r="G33" s="34">
        <v>25020348</v>
      </c>
    </row>
    <row r="34" ht="16.5" spans="1:7">
      <c r="A34" s="39" t="s">
        <v>522</v>
      </c>
      <c r="B34" s="9">
        <v>319.4</v>
      </c>
      <c r="C34" s="10">
        <v>281.4</v>
      </c>
      <c r="D34" s="11">
        <v>4.17</v>
      </c>
      <c r="E34" s="12">
        <v>88.2</v>
      </c>
      <c r="F34" s="12">
        <v>96.7</v>
      </c>
      <c r="G34" s="34">
        <v>25020349</v>
      </c>
    </row>
    <row r="35" ht="16.5" spans="1:7">
      <c r="A35" s="39" t="s">
        <v>523</v>
      </c>
      <c r="B35" s="9">
        <v>500</v>
      </c>
      <c r="C35" s="10">
        <v>201.1</v>
      </c>
      <c r="D35" s="11">
        <v>4.86</v>
      </c>
      <c r="E35" s="12">
        <v>79.3</v>
      </c>
      <c r="F35" s="12">
        <v>94.3</v>
      </c>
      <c r="G35" s="34">
        <v>25020365</v>
      </c>
    </row>
    <row r="36" ht="16.5" spans="1:7">
      <c r="A36" s="39" t="s">
        <v>524</v>
      </c>
      <c r="B36" s="9">
        <v>511.8</v>
      </c>
      <c r="C36" s="10">
        <v>151.5</v>
      </c>
      <c r="D36" s="11">
        <v>3.97</v>
      </c>
      <c r="E36" s="12">
        <v>74.2</v>
      </c>
      <c r="F36" s="12">
        <v>92.2</v>
      </c>
      <c r="G36" s="34">
        <v>25020341</v>
      </c>
    </row>
    <row r="37" ht="16.5" spans="1:7">
      <c r="A37" s="39" t="s">
        <v>525</v>
      </c>
      <c r="B37" s="9">
        <v>508.4</v>
      </c>
      <c r="C37" s="10">
        <v>216</v>
      </c>
      <c r="D37" s="11">
        <v>4.23</v>
      </c>
      <c r="E37" s="12">
        <v>85.6</v>
      </c>
      <c r="F37" s="12">
        <v>96.5</v>
      </c>
      <c r="G37" s="34">
        <v>25010576</v>
      </c>
    </row>
    <row r="38" ht="16.5" spans="1:7">
      <c r="A38" s="39" t="s">
        <v>526</v>
      </c>
      <c r="B38" s="9">
        <v>456</v>
      </c>
      <c r="C38" s="10">
        <v>177.3</v>
      </c>
      <c r="D38" s="11">
        <v>4.63</v>
      </c>
      <c r="E38" s="12">
        <v>71.7</v>
      </c>
      <c r="F38" s="12">
        <v>91.8</v>
      </c>
      <c r="G38" s="34">
        <v>25020050</v>
      </c>
    </row>
    <row r="39" ht="16.5" spans="1:7">
      <c r="A39" s="188">
        <v>20250220</v>
      </c>
      <c r="B39" s="188"/>
      <c r="C39" s="188">
        <v>169</v>
      </c>
      <c r="D39" s="188">
        <v>3.91</v>
      </c>
      <c r="E39" s="188">
        <v>78.1</v>
      </c>
      <c r="F39" s="188">
        <v>93.8</v>
      </c>
    </row>
    <row r="40" ht="16.5" spans="1:7">
      <c r="A40" s="189">
        <v>20240711</v>
      </c>
      <c r="B40" s="190"/>
      <c r="C40" s="190">
        <v>186.6</v>
      </c>
      <c r="D40" s="190">
        <v>4.34</v>
      </c>
      <c r="E40" s="191">
        <v>81.6</v>
      </c>
      <c r="F40" s="191">
        <v>94.5</v>
      </c>
    </row>
    <row r="41" ht="16.5" spans="1:7">
      <c r="A41" s="189">
        <v>20240904</v>
      </c>
      <c r="B41" s="190"/>
      <c r="C41" s="190">
        <v>151.4</v>
      </c>
      <c r="D41" s="190">
        <v>3.8</v>
      </c>
      <c r="E41" s="191">
        <v>78.4</v>
      </c>
      <c r="F41" s="191">
        <v>93.3</v>
      </c>
    </row>
    <row r="42" ht="16.5" spans="1:7">
      <c r="A42" s="80">
        <v>20241150</v>
      </c>
      <c r="B42" s="80"/>
      <c r="C42" s="80">
        <v>178.2</v>
      </c>
      <c r="D42" s="80">
        <v>3.66</v>
      </c>
      <c r="E42" s="80">
        <v>82</v>
      </c>
      <c r="F42" s="80">
        <v>96</v>
      </c>
    </row>
  </sheetData>
  <conditionalFormatting sqref="A1:A2">
    <cfRule type="duplicateValues" dxfId="0" priority="13"/>
  </conditionalFormatting>
  <conditionalFormatting sqref="A27:A28">
    <cfRule type="duplicateValues" dxfId="0" priority="1"/>
  </conditionalFormatting>
  <dataValidations count="1">
    <dataValidation allowBlank="1" showInputMessage="1" showErrorMessage="1" sqref="C12 B13:C13 B29:C29 C30:C32 B3:C11 B33:C38 B40:C41"/>
  </dataValidations>
  <pageMargins left="0.75" right="0.75" top="1" bottom="1" header="0.5" footer="0.5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E26" sqref="E26"/>
    </sheetView>
  </sheetViews>
  <sheetFormatPr defaultColWidth="9" defaultRowHeight="13.5" outlineLevelRow="6"/>
  <cols>
    <col min="1" max="1" width="15.625" customWidth="1"/>
    <col min="8" max="8" width="9.375"/>
    <col min="13" max="13" width="15.625" customWidth="1"/>
  </cols>
  <sheetData>
    <row r="1" ht="16.5" spans="1:15">
      <c r="A1" s="116">
        <v>301</v>
      </c>
      <c r="B1" s="2">
        <f>SUM(B3:B23)</f>
        <v>2097.8</v>
      </c>
      <c r="C1" s="3" cm="1">
        <f t="array" ref="C1">SUMPRODUCT(C3:C23*B3:B23)/B1</f>
        <v>178.767890170655</v>
      </c>
      <c r="D1" s="4" cm="1">
        <f t="array" ref="D1">SUMPRODUCT(B3:B23*D3:D23)/B1</f>
        <v>4.04144627705215</v>
      </c>
      <c r="E1" s="3" cm="1">
        <f t="array" ref="E1">SUMPRODUCT(B3:B23*E3:E23)/B1</f>
        <v>79.9120316522071</v>
      </c>
      <c r="F1" s="3" cm="1">
        <f t="array" ref="F1">SUMPRODUCT(B3:B23*F3:F23)/B1</f>
        <v>94.7068357326723</v>
      </c>
      <c r="G1" s="3" cm="1">
        <f t="array" ref="G1">SUMPRODUCT(B3:B23*G3:G23)/B1</f>
        <v>11.2115044332157</v>
      </c>
    </row>
    <row r="2" ht="16.5" spans="1:15">
      <c r="A2" s="6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15">
      <c r="A3" s="39" t="s">
        <v>527</v>
      </c>
      <c r="B3" s="9">
        <v>493</v>
      </c>
      <c r="C3" s="10">
        <v>151.8</v>
      </c>
      <c r="D3" s="11">
        <v>3.77</v>
      </c>
      <c r="E3" s="12">
        <v>80.4</v>
      </c>
      <c r="F3" s="12">
        <v>95.5</v>
      </c>
      <c r="G3" s="11">
        <v>11.1</v>
      </c>
      <c r="H3" s="34">
        <v>25020396</v>
      </c>
      <c r="M3" s="23" t="s">
        <v>528</v>
      </c>
      <c r="N3" s="14">
        <v>516.8</v>
      </c>
      <c r="O3" s="14">
        <v>25020451</v>
      </c>
    </row>
    <row r="4" ht="16.5" spans="1:15">
      <c r="A4" s="39" t="s">
        <v>529</v>
      </c>
      <c r="B4" s="9">
        <v>512.4</v>
      </c>
      <c r="C4" s="10">
        <v>121.4</v>
      </c>
      <c r="D4" s="11">
        <v>3.03</v>
      </c>
      <c r="E4" s="12">
        <v>76.4</v>
      </c>
      <c r="F4" s="12">
        <v>93.5</v>
      </c>
      <c r="G4" s="11">
        <v>11.29</v>
      </c>
      <c r="H4" s="34">
        <v>25020400</v>
      </c>
      <c r="M4" s="23" t="s">
        <v>530</v>
      </c>
      <c r="N4" s="14">
        <v>535.4</v>
      </c>
      <c r="O4" s="14">
        <v>25020452</v>
      </c>
    </row>
    <row r="5" ht="16.5" spans="1:15">
      <c r="A5" s="39" t="s">
        <v>531</v>
      </c>
      <c r="B5" s="9">
        <v>266</v>
      </c>
      <c r="C5" s="10">
        <v>197</v>
      </c>
      <c r="D5" s="11">
        <v>4.69</v>
      </c>
      <c r="E5" s="12">
        <v>79</v>
      </c>
      <c r="F5" s="12">
        <v>94.1</v>
      </c>
      <c r="G5" s="11">
        <v>9.93</v>
      </c>
      <c r="H5" s="34">
        <v>25020366</v>
      </c>
      <c r="M5" s="23" t="s">
        <v>532</v>
      </c>
      <c r="N5" s="14">
        <v>137.2</v>
      </c>
      <c r="O5" s="14">
        <v>25020460</v>
      </c>
    </row>
    <row r="6" ht="16.5" spans="1:15">
      <c r="A6" s="39" t="s">
        <v>533</v>
      </c>
      <c r="B6" s="9">
        <v>334.2</v>
      </c>
      <c r="C6" s="10">
        <v>191.8</v>
      </c>
      <c r="D6" s="11">
        <v>4.86</v>
      </c>
      <c r="E6" s="12">
        <v>67.5</v>
      </c>
      <c r="F6" s="12">
        <v>89.4</v>
      </c>
      <c r="G6" s="11">
        <v>11.35</v>
      </c>
      <c r="H6" s="34">
        <v>25020195</v>
      </c>
      <c r="M6" s="23" t="s">
        <v>534</v>
      </c>
      <c r="N6" s="14">
        <v>279.4</v>
      </c>
      <c r="O6" s="14">
        <v>25020461</v>
      </c>
    </row>
    <row r="7" ht="16.5" spans="1:15">
      <c r="A7" s="39" t="s">
        <v>535</v>
      </c>
      <c r="B7" s="9">
        <v>492.2</v>
      </c>
      <c r="C7" s="10">
        <v>246.8</v>
      </c>
      <c r="D7" s="11">
        <v>4.46</v>
      </c>
      <c r="E7" s="12">
        <v>92</v>
      </c>
      <c r="F7" s="12">
        <v>99.1</v>
      </c>
      <c r="G7" s="11">
        <v>11.84</v>
      </c>
      <c r="H7" s="34">
        <v>25010546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C4 N3:N6 B5:C7"/>
  </dataValidations>
  <pageMargins left="0.75" right="0.75" top="1" bottom="1" header="0.5" footer="0.5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20" sqref="J20"/>
    </sheetView>
  </sheetViews>
  <sheetFormatPr defaultColWidth="9" defaultRowHeight="13.5"/>
  <cols>
    <col min="1" max="1" width="15.625" customWidth="1"/>
    <col min="7" max="7" width="10.375"/>
    <col min="10" max="10" width="15.625" customWidth="1"/>
    <col min="16" max="16" width="9.375"/>
  </cols>
  <sheetData>
    <row r="1" ht="16.5" spans="1:16">
      <c r="A1" s="116">
        <v>302</v>
      </c>
      <c r="B1" s="2">
        <f>SUM(B3:B23)</f>
        <v>5043.6</v>
      </c>
      <c r="C1" s="3" cm="1">
        <f t="array" ref="C1">SUMPRODUCT(C3:C23*B3:B23)/B1</f>
        <v>237.887084622095</v>
      </c>
      <c r="D1" s="4" cm="1">
        <f t="array" ref="D1">SUMPRODUCT(B3:B23*D3:D23)/B1</f>
        <v>4.97414346895075</v>
      </c>
      <c r="E1" s="3" cm="1">
        <f t="array" ref="E1">SUMPRODUCT(B3:B23*E3:E23)/B1</f>
        <v>81.7817114759299</v>
      </c>
      <c r="F1" s="3" cm="1">
        <f t="array" ref="F1">SUMPRODUCT(B3:B23*F3:F23)/B1</f>
        <v>94.3861606788802</v>
      </c>
      <c r="J1" s="116">
        <v>303</v>
      </c>
      <c r="K1" s="2">
        <f>SUM(K3:K23)</f>
        <v>5112.8</v>
      </c>
      <c r="L1" s="3" cm="1">
        <f t="array" ref="L1">SUMPRODUCT(L3:L23*K3:K23)/K1</f>
        <v>237.313366452824</v>
      </c>
      <c r="M1" s="4" cm="1">
        <f t="array" ref="M1">SUMPRODUCT(K3:K23*M3:M23)/K1</f>
        <v>4.97331403536223</v>
      </c>
      <c r="N1" s="3" cm="1">
        <f t="array" ref="N1">SUMPRODUCT(K3:K23*N3:N23)/K1</f>
        <v>81.9190228446252</v>
      </c>
      <c r="O1" s="3" cm="1">
        <f t="array" ref="O1">SUMPRODUCT(K3:K23*O3:O23)/K1</f>
        <v>94.5469566578</v>
      </c>
    </row>
    <row r="2" ht="16.5" spans="1:16">
      <c r="A2" s="6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>
        <v>220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183" t="s">
        <v>536</v>
      </c>
      <c r="B3" s="184">
        <v>506.8</v>
      </c>
      <c r="C3" s="185">
        <v>274</v>
      </c>
      <c r="D3" s="186">
        <v>5.13</v>
      </c>
      <c r="E3" s="187">
        <v>88.7</v>
      </c>
      <c r="F3" s="187">
        <v>97.1</v>
      </c>
      <c r="G3" s="184">
        <v>24120529</v>
      </c>
      <c r="J3" s="39" t="s">
        <v>537</v>
      </c>
      <c r="K3" s="9">
        <v>497.2</v>
      </c>
      <c r="L3" s="10">
        <v>263.5</v>
      </c>
      <c r="M3" s="11">
        <v>4.97</v>
      </c>
      <c r="N3" s="12">
        <v>88</v>
      </c>
      <c r="O3" s="12">
        <v>96.6</v>
      </c>
      <c r="P3" s="9">
        <v>24120588</v>
      </c>
    </row>
    <row r="4" ht="16.5" spans="1:16">
      <c r="A4" s="183" t="s">
        <v>538</v>
      </c>
      <c r="B4" s="184">
        <v>515.6</v>
      </c>
      <c r="C4" s="185">
        <v>273</v>
      </c>
      <c r="D4" s="186">
        <v>5.16</v>
      </c>
      <c r="E4" s="187">
        <v>89</v>
      </c>
      <c r="F4" s="187">
        <v>97.5</v>
      </c>
      <c r="G4" s="184">
        <v>24120530</v>
      </c>
      <c r="J4" s="39" t="s">
        <v>539</v>
      </c>
      <c r="K4" s="9">
        <v>374.6</v>
      </c>
      <c r="L4" s="10">
        <v>243.9</v>
      </c>
      <c r="M4" s="11">
        <v>4.75</v>
      </c>
      <c r="N4" s="12">
        <v>84.9</v>
      </c>
      <c r="O4" s="12">
        <v>95.4</v>
      </c>
      <c r="P4" s="9">
        <v>24120597</v>
      </c>
    </row>
    <row r="5" ht="16.5" spans="1:16">
      <c r="A5" s="183" t="s">
        <v>540</v>
      </c>
      <c r="B5" s="184">
        <v>280</v>
      </c>
      <c r="C5" s="185">
        <v>274.6</v>
      </c>
      <c r="D5" s="186">
        <v>5.13</v>
      </c>
      <c r="E5" s="187">
        <v>86</v>
      </c>
      <c r="F5" s="187">
        <v>96</v>
      </c>
      <c r="G5" s="184">
        <v>25010098</v>
      </c>
      <c r="J5" s="39" t="s">
        <v>541</v>
      </c>
      <c r="K5" s="9">
        <v>226</v>
      </c>
      <c r="L5" s="10">
        <v>273.2</v>
      </c>
      <c r="M5" s="11">
        <v>4.69</v>
      </c>
      <c r="N5" s="12">
        <v>88.6</v>
      </c>
      <c r="O5" s="12">
        <v>97.5</v>
      </c>
      <c r="P5" s="9">
        <v>25010089</v>
      </c>
    </row>
    <row r="6" ht="16.5" spans="1:16">
      <c r="A6" s="183" t="s">
        <v>542</v>
      </c>
      <c r="B6" s="184">
        <v>485.2</v>
      </c>
      <c r="C6" s="185">
        <v>237.2</v>
      </c>
      <c r="D6" s="186">
        <v>5.66</v>
      </c>
      <c r="E6" s="187">
        <v>70.5</v>
      </c>
      <c r="F6" s="187">
        <v>88.3</v>
      </c>
      <c r="G6" s="184">
        <v>25010468</v>
      </c>
      <c r="J6" s="39" t="s">
        <v>543</v>
      </c>
      <c r="K6" s="9">
        <v>515.2</v>
      </c>
      <c r="L6" s="10">
        <v>273.2</v>
      </c>
      <c r="M6" s="11">
        <v>4.77</v>
      </c>
      <c r="N6" s="12">
        <v>89.5</v>
      </c>
      <c r="O6" s="12">
        <v>97.6</v>
      </c>
      <c r="P6" s="9">
        <v>25010092</v>
      </c>
    </row>
    <row r="7" ht="16.5" spans="1:16">
      <c r="A7" s="183" t="s">
        <v>544</v>
      </c>
      <c r="B7" s="184">
        <v>475.4</v>
      </c>
      <c r="C7" s="185">
        <v>192.2</v>
      </c>
      <c r="D7" s="186">
        <v>4.49</v>
      </c>
      <c r="E7" s="187">
        <v>88.1</v>
      </c>
      <c r="F7" s="187">
        <v>98</v>
      </c>
      <c r="G7" s="184">
        <v>25020044</v>
      </c>
      <c r="J7" s="39" t="s">
        <v>545</v>
      </c>
      <c r="K7" s="9">
        <v>468</v>
      </c>
      <c r="L7" s="10">
        <v>261.9</v>
      </c>
      <c r="M7" s="11">
        <v>5.11</v>
      </c>
      <c r="N7" s="12">
        <v>83.7</v>
      </c>
      <c r="O7" s="12">
        <v>95.2</v>
      </c>
      <c r="P7" s="9">
        <v>25010102</v>
      </c>
    </row>
    <row r="8" ht="16.5" spans="1:16">
      <c r="A8" s="183" t="s">
        <v>546</v>
      </c>
      <c r="B8" s="184">
        <v>502.6</v>
      </c>
      <c r="C8" s="185">
        <v>184.3</v>
      </c>
      <c r="D8" s="186">
        <v>4.38</v>
      </c>
      <c r="E8" s="187">
        <v>78.6</v>
      </c>
      <c r="F8" s="187">
        <v>94.4</v>
      </c>
      <c r="G8" s="184">
        <v>25020047</v>
      </c>
      <c r="J8" s="39" t="s">
        <v>547</v>
      </c>
      <c r="K8" s="9">
        <v>259.2</v>
      </c>
      <c r="L8" s="10">
        <v>246.1</v>
      </c>
      <c r="M8" s="11">
        <v>4.66</v>
      </c>
      <c r="N8" s="12">
        <v>87.9</v>
      </c>
      <c r="O8" s="12">
        <v>97.1</v>
      </c>
      <c r="P8" s="9">
        <v>25010342</v>
      </c>
    </row>
    <row r="9" ht="16.5" spans="1:16">
      <c r="A9" s="183" t="s">
        <v>548</v>
      </c>
      <c r="B9" s="184">
        <v>526.8</v>
      </c>
      <c r="C9" s="185">
        <v>237</v>
      </c>
      <c r="D9" s="186">
        <v>4.63</v>
      </c>
      <c r="E9" s="187">
        <v>72.4</v>
      </c>
      <c r="F9" s="187">
        <v>90</v>
      </c>
      <c r="G9" s="184">
        <v>25020081</v>
      </c>
      <c r="J9" s="39" t="s">
        <v>549</v>
      </c>
      <c r="K9" s="9">
        <v>506.8</v>
      </c>
      <c r="L9" s="10">
        <v>240.5</v>
      </c>
      <c r="M9" s="11">
        <v>4.77</v>
      </c>
      <c r="N9" s="12">
        <v>87.2</v>
      </c>
      <c r="O9" s="12">
        <v>96.8</v>
      </c>
      <c r="P9" s="9">
        <v>25010464</v>
      </c>
    </row>
    <row r="10" ht="16.5" spans="1:16">
      <c r="A10" s="183" t="s">
        <v>550</v>
      </c>
      <c r="B10" s="184">
        <v>499.6</v>
      </c>
      <c r="C10" s="185">
        <v>239.6</v>
      </c>
      <c r="D10" s="186">
        <v>5.35</v>
      </c>
      <c r="E10" s="187">
        <v>89.8</v>
      </c>
      <c r="F10" s="187">
        <v>98.3</v>
      </c>
      <c r="G10" s="184">
        <v>25020125</v>
      </c>
      <c r="J10" s="39" t="s">
        <v>551</v>
      </c>
      <c r="K10" s="9">
        <v>355.8</v>
      </c>
      <c r="L10" s="10">
        <v>189.6</v>
      </c>
      <c r="M10" s="11">
        <v>4.75</v>
      </c>
      <c r="N10" s="12">
        <v>83.6</v>
      </c>
      <c r="O10" s="12">
        <v>96.2</v>
      </c>
      <c r="P10" s="9">
        <v>25010608</v>
      </c>
    </row>
    <row r="11" ht="16.5" spans="1:16">
      <c r="A11" s="183" t="s">
        <v>552</v>
      </c>
      <c r="B11" s="184">
        <v>459.8</v>
      </c>
      <c r="C11" s="185">
        <v>183.7</v>
      </c>
      <c r="D11" s="186">
        <v>5</v>
      </c>
      <c r="E11" s="187">
        <v>59.2</v>
      </c>
      <c r="F11" s="187">
        <v>84.2</v>
      </c>
      <c r="G11" s="184">
        <v>25020223</v>
      </c>
      <c r="J11" s="39" t="s">
        <v>553</v>
      </c>
      <c r="K11" s="9">
        <v>494.4</v>
      </c>
      <c r="L11" s="10">
        <v>199.5</v>
      </c>
      <c r="M11" s="11">
        <v>5.08</v>
      </c>
      <c r="N11" s="12">
        <v>84.2</v>
      </c>
      <c r="O11" s="12">
        <v>96.5</v>
      </c>
      <c r="P11" s="9">
        <v>25020019</v>
      </c>
    </row>
    <row r="12" ht="16.5" spans="1:16">
      <c r="A12" s="183" t="s">
        <v>554</v>
      </c>
      <c r="B12" s="184">
        <v>265.2</v>
      </c>
      <c r="C12" s="185">
        <v>258.4</v>
      </c>
      <c r="D12" s="186">
        <v>4.61</v>
      </c>
      <c r="E12" s="187">
        <v>89.2</v>
      </c>
      <c r="F12" s="187">
        <v>97.5</v>
      </c>
      <c r="G12" s="184">
        <v>25020261</v>
      </c>
      <c r="J12" s="39" t="s">
        <v>555</v>
      </c>
      <c r="K12" s="9">
        <v>487.6</v>
      </c>
      <c r="L12" s="10">
        <v>238.7</v>
      </c>
      <c r="M12" s="11">
        <v>4.61</v>
      </c>
      <c r="N12" s="12">
        <v>73.7</v>
      </c>
      <c r="O12" s="12">
        <v>90.5</v>
      </c>
      <c r="P12" s="9">
        <v>25020079</v>
      </c>
    </row>
    <row r="13" ht="16.5" spans="1:16">
      <c r="A13" s="183" t="s">
        <v>556</v>
      </c>
      <c r="B13" s="184">
        <v>526.6</v>
      </c>
      <c r="C13" s="185">
        <v>278.5</v>
      </c>
      <c r="D13" s="186">
        <v>5.08</v>
      </c>
      <c r="E13" s="187">
        <v>91.3</v>
      </c>
      <c r="F13" s="187">
        <v>98.2</v>
      </c>
      <c r="G13" s="184">
        <v>25020326</v>
      </c>
      <c r="J13" s="39" t="s">
        <v>557</v>
      </c>
      <c r="K13" s="9">
        <v>468.4</v>
      </c>
      <c r="L13" s="10">
        <v>189.9</v>
      </c>
      <c r="M13" s="11">
        <v>5.22</v>
      </c>
      <c r="N13" s="12">
        <v>61.1</v>
      </c>
      <c r="O13" s="12">
        <v>85.5</v>
      </c>
      <c r="P13" s="9">
        <v>25020221</v>
      </c>
    </row>
    <row r="14" ht="16.5" spans="1:16">
      <c r="J14" s="39" t="s">
        <v>558</v>
      </c>
      <c r="K14" s="9">
        <v>459.6</v>
      </c>
      <c r="L14" s="10">
        <v>236.7</v>
      </c>
      <c r="M14" s="11">
        <v>5.98</v>
      </c>
      <c r="N14" s="12">
        <v>76.3</v>
      </c>
      <c r="O14" s="12">
        <v>92.3</v>
      </c>
      <c r="P14" s="9">
        <v>25020276</v>
      </c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K3:L3 K4:K7 K9:K13 L4:L14 B3:C13"/>
  </dataValidations>
  <pageMargins left="0.75" right="0.75" top="1" bottom="1" header="0.5" footer="0.5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selection activeCell="M29" sqref="M29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</cols>
  <sheetData>
    <row r="1" ht="16.5" spans="1:16">
      <c r="A1" s="116">
        <v>307</v>
      </c>
      <c r="B1" s="2">
        <f>SUM(B3:B23)</f>
        <v>5008.4</v>
      </c>
      <c r="C1" s="3" cm="1">
        <f t="array" ref="C1">SUMPRODUCT(C3:C23*B3:B23)/B1</f>
        <v>167.849428959348</v>
      </c>
      <c r="D1" s="4" cm="1">
        <f t="array" ref="D1">SUMPRODUCT(B3:B23*D3:D23)/B1</f>
        <v>3.84944093922211</v>
      </c>
      <c r="E1" s="3" cm="1">
        <f t="array" ref="E1">SUMPRODUCT(B3:B23*E3:E23)/B1</f>
        <v>78.1021723504513</v>
      </c>
      <c r="F1" s="3" cm="1">
        <f t="array" ref="F1">SUMPRODUCT(B3:B23*F3:F23)/B1</f>
        <v>94.0062654740037</v>
      </c>
      <c r="J1" s="116">
        <v>304</v>
      </c>
      <c r="K1" s="2">
        <f>SUM(K3:K23)</f>
        <v>5985.4</v>
      </c>
      <c r="L1" s="3" cm="1">
        <f t="array" ref="L1">SUMPRODUCT(L3:L23*K3:K23)/K1</f>
        <v>184.646225816153</v>
      </c>
      <c r="M1" s="4" cm="1">
        <f t="array" ref="M1">SUMPRODUCT(K3:K23*M3:M23)/K1</f>
        <v>3.88199151268086</v>
      </c>
      <c r="N1" s="3" cm="1">
        <f t="array" ref="N1">SUMPRODUCT(K3:K23*N3:N23)/K1</f>
        <v>79.0758178233702</v>
      </c>
      <c r="O1" s="3" cm="1">
        <f t="array" ref="O1">SUMPRODUCT(K3:K23*O3:O23)/K1</f>
        <v>93.705951147793</v>
      </c>
    </row>
    <row r="2" ht="16.5" spans="1:16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>
        <v>160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39" t="s">
        <v>559</v>
      </c>
      <c r="B3" s="9">
        <v>485.6</v>
      </c>
      <c r="C3" s="10">
        <v>151.9</v>
      </c>
      <c r="D3" s="11">
        <v>4.06</v>
      </c>
      <c r="E3" s="12">
        <v>72.5</v>
      </c>
      <c r="F3" s="12">
        <v>92.1</v>
      </c>
      <c r="G3" s="34">
        <v>25030055</v>
      </c>
      <c r="J3" s="39" t="s">
        <v>560</v>
      </c>
      <c r="K3" s="9">
        <v>504.6</v>
      </c>
      <c r="L3" s="10">
        <v>259</v>
      </c>
      <c r="M3" s="11">
        <v>3.91</v>
      </c>
      <c r="N3" s="12">
        <v>89.9</v>
      </c>
      <c r="O3" s="12">
        <v>97.5</v>
      </c>
      <c r="P3" s="34">
        <v>25020075</v>
      </c>
    </row>
    <row r="4" ht="16.5" spans="1:16">
      <c r="A4" s="39" t="s">
        <v>561</v>
      </c>
      <c r="B4" s="9">
        <v>307.2</v>
      </c>
      <c r="C4" s="10">
        <v>130.6</v>
      </c>
      <c r="D4" s="11">
        <v>3.46</v>
      </c>
      <c r="E4" s="12">
        <v>74.6</v>
      </c>
      <c r="F4" s="12">
        <v>93.5</v>
      </c>
      <c r="G4" s="34">
        <v>25030056</v>
      </c>
      <c r="J4" s="39" t="s">
        <v>562</v>
      </c>
      <c r="K4" s="9">
        <v>390.6</v>
      </c>
      <c r="L4" s="10">
        <v>261.8</v>
      </c>
      <c r="M4" s="11">
        <v>4.03</v>
      </c>
      <c r="N4" s="12">
        <v>89</v>
      </c>
      <c r="O4" s="12">
        <v>97.1</v>
      </c>
      <c r="P4" s="34">
        <v>25020077</v>
      </c>
    </row>
    <row r="5" ht="16.5" spans="1:16">
      <c r="A5" s="39" t="s">
        <v>563</v>
      </c>
      <c r="B5" s="9">
        <v>307.8</v>
      </c>
      <c r="C5" s="10">
        <v>184.2</v>
      </c>
      <c r="D5" s="11">
        <v>4.57</v>
      </c>
      <c r="E5" s="12">
        <v>80.7</v>
      </c>
      <c r="F5" s="12">
        <v>94.8</v>
      </c>
      <c r="G5" s="34">
        <v>25020423</v>
      </c>
      <c r="J5" s="39" t="s">
        <v>564</v>
      </c>
      <c r="K5" s="9">
        <v>522</v>
      </c>
      <c r="L5" s="10">
        <v>126.3</v>
      </c>
      <c r="M5" s="11">
        <v>3.09</v>
      </c>
      <c r="N5" s="12">
        <v>76.6</v>
      </c>
      <c r="O5" s="12">
        <v>93.8</v>
      </c>
      <c r="P5" s="34">
        <v>25030038</v>
      </c>
    </row>
    <row r="6" ht="16.5" spans="1:16">
      <c r="A6" s="39" t="s">
        <v>565</v>
      </c>
      <c r="B6" s="9">
        <v>306.8</v>
      </c>
      <c r="C6" s="10">
        <v>178.3</v>
      </c>
      <c r="D6" s="11">
        <v>4.57</v>
      </c>
      <c r="E6" s="12">
        <v>80.3</v>
      </c>
      <c r="F6" s="12">
        <v>94.6</v>
      </c>
      <c r="G6" s="34">
        <v>25020424</v>
      </c>
      <c r="J6" s="39" t="s">
        <v>566</v>
      </c>
      <c r="K6" s="9">
        <v>498.6</v>
      </c>
      <c r="L6" s="10">
        <v>130.9</v>
      </c>
      <c r="M6" s="11">
        <v>3.09</v>
      </c>
      <c r="N6" s="12">
        <v>77</v>
      </c>
      <c r="O6" s="12">
        <v>94</v>
      </c>
      <c r="P6" s="34">
        <v>25030039</v>
      </c>
    </row>
    <row r="7" ht="16.5" spans="1:16">
      <c r="A7" s="39" t="s">
        <v>567</v>
      </c>
      <c r="B7" s="9">
        <v>498.2</v>
      </c>
      <c r="C7" s="10">
        <v>232.3</v>
      </c>
      <c r="D7" s="11">
        <v>4.72</v>
      </c>
      <c r="E7" s="12">
        <v>81.3</v>
      </c>
      <c r="F7" s="12">
        <v>94.4</v>
      </c>
      <c r="G7" s="34">
        <v>25020420</v>
      </c>
      <c r="J7" s="39" t="s">
        <v>568</v>
      </c>
      <c r="K7" s="9">
        <v>722</v>
      </c>
      <c r="L7" s="10">
        <v>138.5</v>
      </c>
      <c r="M7" s="11">
        <v>3.09</v>
      </c>
      <c r="N7" s="12">
        <v>72.8</v>
      </c>
      <c r="O7" s="12">
        <v>91.9</v>
      </c>
      <c r="P7" s="34">
        <v>25030042</v>
      </c>
    </row>
    <row r="8" ht="16.5" spans="1:16">
      <c r="A8" s="39" t="s">
        <v>569</v>
      </c>
      <c r="B8" s="9">
        <v>508.2</v>
      </c>
      <c r="C8" s="10">
        <v>205.9</v>
      </c>
      <c r="D8" s="11">
        <v>4.91</v>
      </c>
      <c r="E8" s="12">
        <v>80.1</v>
      </c>
      <c r="F8" s="12">
        <v>94.1</v>
      </c>
      <c r="G8" s="34">
        <v>25020421</v>
      </c>
      <c r="J8" s="39" t="s">
        <v>570</v>
      </c>
      <c r="K8" s="9">
        <v>489.8</v>
      </c>
      <c r="L8" s="10">
        <v>146.8</v>
      </c>
      <c r="M8" s="11">
        <v>3.67</v>
      </c>
      <c r="N8" s="12">
        <v>79</v>
      </c>
      <c r="O8" s="12">
        <v>93.3</v>
      </c>
      <c r="P8" s="34">
        <v>25020476</v>
      </c>
    </row>
    <row r="9" ht="16.5" spans="1:16">
      <c r="A9" s="39" t="s">
        <v>571</v>
      </c>
      <c r="B9" s="9">
        <v>485.2</v>
      </c>
      <c r="C9" s="10">
        <v>251.1</v>
      </c>
      <c r="D9" s="11">
        <v>4.72</v>
      </c>
      <c r="E9" s="12">
        <v>82.1</v>
      </c>
      <c r="F9" s="12">
        <v>94.6</v>
      </c>
      <c r="G9" s="34">
        <v>25020418</v>
      </c>
      <c r="J9" s="39" t="s">
        <v>572</v>
      </c>
      <c r="K9" s="9">
        <v>396</v>
      </c>
      <c r="L9" s="10">
        <v>143.8</v>
      </c>
      <c r="M9" s="11">
        <v>3.53</v>
      </c>
      <c r="N9" s="12">
        <v>78.9</v>
      </c>
      <c r="O9" s="12">
        <v>93.6</v>
      </c>
      <c r="P9" s="34">
        <v>25020477</v>
      </c>
    </row>
    <row r="10" ht="16.5" spans="1:16">
      <c r="A10" s="39" t="s">
        <v>573</v>
      </c>
      <c r="B10" s="9">
        <v>489.2</v>
      </c>
      <c r="C10" s="10">
        <v>120.9</v>
      </c>
      <c r="D10" s="11">
        <v>2.9</v>
      </c>
      <c r="E10" s="12">
        <v>76.4</v>
      </c>
      <c r="F10" s="12">
        <v>94.3</v>
      </c>
      <c r="G10" s="34">
        <v>25030040</v>
      </c>
      <c r="J10" s="39" t="s">
        <v>574</v>
      </c>
      <c r="K10" s="9">
        <v>489.6</v>
      </c>
      <c r="L10" s="10">
        <v>244.4</v>
      </c>
      <c r="M10" s="11">
        <v>4.66</v>
      </c>
      <c r="N10" s="12">
        <v>82</v>
      </c>
      <c r="O10" s="12">
        <v>94.3</v>
      </c>
      <c r="P10" s="34">
        <v>25020419</v>
      </c>
    </row>
    <row r="11" ht="16.5" spans="1:16">
      <c r="A11" s="39" t="s">
        <v>575</v>
      </c>
      <c r="B11" s="9">
        <v>297.4</v>
      </c>
      <c r="C11" s="10">
        <v>122.9</v>
      </c>
      <c r="D11" s="11">
        <v>2.93</v>
      </c>
      <c r="E11" s="12">
        <v>76.1</v>
      </c>
      <c r="F11" s="12">
        <v>94.1</v>
      </c>
      <c r="G11" s="34">
        <v>25030041</v>
      </c>
      <c r="J11" s="39" t="s">
        <v>576</v>
      </c>
      <c r="K11" s="9">
        <v>0</v>
      </c>
      <c r="L11" s="10">
        <v>186.5</v>
      </c>
      <c r="M11" s="11">
        <v>4.8</v>
      </c>
      <c r="N11" s="12">
        <v>64.2</v>
      </c>
      <c r="O11" s="12">
        <v>86</v>
      </c>
      <c r="P11" s="34">
        <v>24120575</v>
      </c>
    </row>
    <row r="12" ht="16.5" spans="1:16">
      <c r="A12" s="39" t="s">
        <v>577</v>
      </c>
      <c r="B12" s="9">
        <v>229.8</v>
      </c>
      <c r="C12" s="10">
        <v>149.2</v>
      </c>
      <c r="D12" s="11">
        <v>3.09</v>
      </c>
      <c r="E12" s="12">
        <v>73.8</v>
      </c>
      <c r="F12" s="12">
        <v>92.3</v>
      </c>
      <c r="G12" s="34">
        <v>25030043</v>
      </c>
      <c r="J12" s="39" t="s">
        <v>578</v>
      </c>
      <c r="K12" s="9">
        <v>487.8</v>
      </c>
      <c r="L12" s="10">
        <v>250.5</v>
      </c>
      <c r="M12" s="11">
        <v>4.66</v>
      </c>
      <c r="N12" s="12">
        <v>88.3</v>
      </c>
      <c r="O12" s="12">
        <v>96.9</v>
      </c>
      <c r="P12" s="34">
        <v>24120595</v>
      </c>
    </row>
    <row r="13" ht="16.5" spans="1:16">
      <c r="A13" s="39" t="s">
        <v>579</v>
      </c>
      <c r="B13" s="9">
        <v>533.2</v>
      </c>
      <c r="C13" s="10">
        <v>150.5</v>
      </c>
      <c r="D13" s="11">
        <v>3.28</v>
      </c>
      <c r="E13" s="12">
        <v>78.7</v>
      </c>
      <c r="F13" s="12">
        <v>94.7</v>
      </c>
      <c r="G13" s="34">
        <v>25020313</v>
      </c>
      <c r="J13" s="39" t="s">
        <v>580</v>
      </c>
      <c r="K13" s="9">
        <v>499.2</v>
      </c>
      <c r="L13" s="10">
        <v>209.9</v>
      </c>
      <c r="M13" s="11">
        <v>4.69</v>
      </c>
      <c r="N13" s="12">
        <v>88.8</v>
      </c>
      <c r="O13" s="12">
        <v>98</v>
      </c>
      <c r="P13" s="34">
        <v>25020099</v>
      </c>
    </row>
    <row r="14" ht="16.5" spans="1:16">
      <c r="A14" s="39" t="s">
        <v>581</v>
      </c>
      <c r="B14" s="9">
        <v>170.2</v>
      </c>
      <c r="C14" s="10">
        <v>112.3</v>
      </c>
      <c r="D14" s="11">
        <v>2.7</v>
      </c>
      <c r="E14" s="12">
        <v>68.2</v>
      </c>
      <c r="F14" s="12">
        <v>88.6</v>
      </c>
      <c r="G14" s="34">
        <v>25030005</v>
      </c>
      <c r="J14" s="39" t="s">
        <v>582</v>
      </c>
      <c r="K14" s="9">
        <v>445.2</v>
      </c>
      <c r="L14" s="10">
        <v>140.2</v>
      </c>
      <c r="M14" s="11">
        <v>3.53</v>
      </c>
      <c r="N14" s="12">
        <v>59.8</v>
      </c>
      <c r="O14" s="12">
        <v>84.5</v>
      </c>
      <c r="P14" s="34">
        <v>24120351</v>
      </c>
    </row>
    <row r="15" ht="16.5" spans="1:16">
      <c r="A15" s="39" t="s">
        <v>583</v>
      </c>
      <c r="B15" s="9">
        <v>389.6</v>
      </c>
      <c r="C15" s="10">
        <v>112.5</v>
      </c>
      <c r="D15" s="11">
        <v>2.8</v>
      </c>
      <c r="E15" s="12">
        <v>82.1</v>
      </c>
      <c r="F15" s="12">
        <v>96.3</v>
      </c>
      <c r="G15" s="34">
        <v>25030021</v>
      </c>
      <c r="J15" s="39" t="s">
        <v>584</v>
      </c>
      <c r="K15" s="9">
        <v>540</v>
      </c>
      <c r="L15" s="10">
        <v>191</v>
      </c>
      <c r="M15" s="11">
        <v>4.89</v>
      </c>
      <c r="N15" s="12">
        <v>70.6</v>
      </c>
      <c r="O15" s="12">
        <v>90.4</v>
      </c>
      <c r="P15" s="9">
        <v>25020136</v>
      </c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B3:C15 K3:L15"/>
  </dataValidations>
  <pageMargins left="0.75" right="0.75" top="1" bottom="1" header="0.5" footer="0.5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E26" sqref="E26"/>
    </sheetView>
  </sheetViews>
  <sheetFormatPr defaultColWidth="9" defaultRowHeight="13.5"/>
  <cols>
    <col min="1" max="1" width="15.625" customWidth="1"/>
    <col min="8" max="8" width="9.375"/>
  </cols>
  <sheetData>
    <row r="1" ht="16.5" spans="1:9">
      <c r="A1" s="116">
        <v>306</v>
      </c>
      <c r="B1" s="2">
        <f>SUM(B3:B23)</f>
        <v>5087</v>
      </c>
      <c r="C1" s="3" cm="1">
        <f t="array" ref="C1">SUMPRODUCT(C3:C23*B3:B23)/B1</f>
        <v>218.69689011205</v>
      </c>
      <c r="D1" s="4" cm="1">
        <f t="array" ref="D1">SUMPRODUCT(B3:B23*D3:D23)/B1</f>
        <v>4.93362413996462</v>
      </c>
      <c r="E1" s="3" cm="1">
        <f t="array" ref="E1">SUMPRODUCT(B3:B23*E3:E23)/B1</f>
        <v>86.6355651661097</v>
      </c>
      <c r="F1" s="3" cm="1">
        <f t="array" ref="F1">SUMPRODUCT(B3:B23*F3:F23)/B1</f>
        <v>94.9912797326518</v>
      </c>
      <c r="G1" s="3" cm="1">
        <f t="array" ref="G1">SUMPRODUCT(B3:B23*G3:G23)/B1</f>
        <v>12.7394216630627</v>
      </c>
    </row>
    <row r="2" ht="16.5" spans="1:9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9">
      <c r="A3" s="18" t="s">
        <v>585</v>
      </c>
      <c r="B3" s="14">
        <v>467.4</v>
      </c>
      <c r="C3" s="15">
        <v>133.7</v>
      </c>
      <c r="D3" s="16">
        <v>3.43</v>
      </c>
      <c r="E3" s="17">
        <v>81.3</v>
      </c>
      <c r="F3" s="17">
        <v>92.8</v>
      </c>
      <c r="G3" s="16">
        <v>12.62</v>
      </c>
      <c r="H3" s="85">
        <v>24090141</v>
      </c>
      <c r="I3" s="143" t="s">
        <v>586</v>
      </c>
    </row>
    <row r="4" ht="16.5" spans="1:9">
      <c r="A4" s="18" t="s">
        <v>587</v>
      </c>
      <c r="B4" s="14">
        <v>352</v>
      </c>
      <c r="C4" s="15">
        <v>134.2</v>
      </c>
      <c r="D4" s="16">
        <v>3.61</v>
      </c>
      <c r="E4" s="17">
        <v>84.8</v>
      </c>
      <c r="F4" s="17">
        <v>94.7</v>
      </c>
      <c r="G4" s="16">
        <v>12.68</v>
      </c>
      <c r="H4" s="14">
        <v>24090166</v>
      </c>
      <c r="I4" s="143" t="s">
        <v>586</v>
      </c>
    </row>
    <row r="5" ht="16.5" spans="1:9">
      <c r="A5" s="18" t="s">
        <v>588</v>
      </c>
      <c r="B5" s="14">
        <v>490.6</v>
      </c>
      <c r="C5" s="15">
        <v>237.9</v>
      </c>
      <c r="D5" s="16">
        <v>5.02</v>
      </c>
      <c r="E5" s="17">
        <v>91.5</v>
      </c>
      <c r="F5" s="17">
        <v>97.4</v>
      </c>
      <c r="G5" s="16">
        <v>14.04</v>
      </c>
      <c r="H5" s="85">
        <v>24100176</v>
      </c>
      <c r="I5" s="143" t="s">
        <v>586</v>
      </c>
    </row>
    <row r="6" ht="16.5" spans="1:9">
      <c r="A6" s="18" t="s">
        <v>589</v>
      </c>
      <c r="B6" s="14">
        <v>559.8</v>
      </c>
      <c r="C6" s="15">
        <v>252.9</v>
      </c>
      <c r="D6" s="16">
        <v>4.55</v>
      </c>
      <c r="E6" s="17">
        <v>91.5</v>
      </c>
      <c r="F6" s="17">
        <v>97.2</v>
      </c>
      <c r="G6" s="16">
        <v>12.61</v>
      </c>
      <c r="H6" s="85">
        <v>24090018</v>
      </c>
      <c r="I6" s="143" t="s">
        <v>590</v>
      </c>
    </row>
    <row r="7" ht="16.5" spans="1:9">
      <c r="A7" s="18" t="s">
        <v>591</v>
      </c>
      <c r="B7" s="14">
        <v>466.8</v>
      </c>
      <c r="C7" s="15">
        <v>241.1</v>
      </c>
      <c r="D7" s="16">
        <v>6.5</v>
      </c>
      <c r="E7" s="17">
        <v>83.2</v>
      </c>
      <c r="F7" s="17">
        <v>93.6</v>
      </c>
      <c r="G7" s="16">
        <v>12.12</v>
      </c>
      <c r="H7" s="85">
        <v>24090161</v>
      </c>
      <c r="I7" s="143" t="s">
        <v>586</v>
      </c>
    </row>
    <row r="8" ht="16.5" spans="1:9">
      <c r="A8" s="18" t="s">
        <v>592</v>
      </c>
      <c r="B8" s="14">
        <v>462.2</v>
      </c>
      <c r="C8" s="15">
        <v>172.1</v>
      </c>
      <c r="D8" s="16">
        <v>4.86</v>
      </c>
      <c r="E8" s="17">
        <v>75.3</v>
      </c>
      <c r="F8" s="17">
        <v>89.3</v>
      </c>
      <c r="G8" s="16">
        <v>13.12</v>
      </c>
      <c r="H8" s="85">
        <v>24090106</v>
      </c>
      <c r="I8" s="131" t="s">
        <v>593</v>
      </c>
    </row>
    <row r="9" ht="16.5" spans="1:9">
      <c r="A9" s="18" t="s">
        <v>594</v>
      </c>
      <c r="B9" s="14">
        <v>478</v>
      </c>
      <c r="C9" s="15">
        <v>213.9</v>
      </c>
      <c r="D9" s="16">
        <v>4.77</v>
      </c>
      <c r="E9" s="17">
        <v>88.4</v>
      </c>
      <c r="F9" s="17">
        <v>95.7</v>
      </c>
      <c r="G9" s="16">
        <v>13.71</v>
      </c>
      <c r="H9" s="85">
        <v>24090075</v>
      </c>
      <c r="I9" s="160" t="s">
        <v>595</v>
      </c>
    </row>
    <row r="10" ht="16.5" spans="1:9">
      <c r="A10" s="18" t="s">
        <v>596</v>
      </c>
      <c r="B10" s="14">
        <v>442</v>
      </c>
      <c r="C10" s="15">
        <v>251.9</v>
      </c>
      <c r="D10" s="16">
        <v>5.27</v>
      </c>
      <c r="E10" s="17">
        <v>84.2</v>
      </c>
      <c r="F10" s="17">
        <v>93.5</v>
      </c>
      <c r="G10" s="16">
        <v>13.55</v>
      </c>
      <c r="H10" s="85">
        <v>24090025</v>
      </c>
      <c r="I10" s="131" t="s">
        <v>597</v>
      </c>
    </row>
    <row r="11" ht="16.5" spans="1:9">
      <c r="A11" s="18" t="s">
        <v>598</v>
      </c>
      <c r="B11" s="14">
        <v>526.8</v>
      </c>
      <c r="C11" s="15">
        <v>224.6</v>
      </c>
      <c r="D11" s="16">
        <v>5.27</v>
      </c>
      <c r="E11" s="17">
        <v>87.3</v>
      </c>
      <c r="F11" s="17">
        <v>95</v>
      </c>
      <c r="G11" s="16">
        <v>12.79</v>
      </c>
      <c r="H11" s="85">
        <v>24090050</v>
      </c>
      <c r="I11" s="182" t="s">
        <v>599</v>
      </c>
    </row>
    <row r="12" ht="16.5" spans="1:9">
      <c r="A12" s="18" t="s">
        <v>600</v>
      </c>
      <c r="B12" s="14">
        <v>152.6</v>
      </c>
      <c r="C12" s="15">
        <v>138.5</v>
      </c>
      <c r="D12" s="16">
        <v>3.46</v>
      </c>
      <c r="E12" s="17">
        <v>81.3</v>
      </c>
      <c r="F12" s="17">
        <v>92.9</v>
      </c>
      <c r="G12" s="16">
        <v>11.98</v>
      </c>
      <c r="H12" s="85">
        <v>24090142</v>
      </c>
    </row>
    <row r="13" ht="16.5" spans="1:9">
      <c r="A13" s="18" t="s">
        <v>601</v>
      </c>
      <c r="B13" s="14">
        <v>159</v>
      </c>
      <c r="C13" s="15">
        <v>296.9</v>
      </c>
      <c r="D13" s="16">
        <v>5.92</v>
      </c>
      <c r="E13" s="17">
        <v>94.8</v>
      </c>
      <c r="F13" s="17">
        <v>98.8</v>
      </c>
      <c r="G13" s="16">
        <v>10.53</v>
      </c>
      <c r="H13" s="85">
        <v>24090143</v>
      </c>
    </row>
    <row r="14" ht="16.5" spans="1:9">
      <c r="A14" s="18" t="s">
        <v>602</v>
      </c>
      <c r="B14" s="14">
        <v>529.8</v>
      </c>
      <c r="C14" s="15">
        <v>287.2</v>
      </c>
      <c r="D14" s="16">
        <v>5.81</v>
      </c>
      <c r="E14" s="17">
        <v>94.7</v>
      </c>
      <c r="F14" s="17">
        <v>98.8</v>
      </c>
      <c r="G14" s="16">
        <v>11.31</v>
      </c>
      <c r="H14" s="85">
        <v>24090144</v>
      </c>
    </row>
  </sheetData>
  <conditionalFormatting sqref="A1:A2">
    <cfRule type="duplicateValues" dxfId="0" priority="3"/>
  </conditionalFormatting>
  <dataValidations count="1">
    <dataValidation allowBlank="1" showInputMessage="1" showErrorMessage="1" sqref="B3:C14"/>
  </dataValidations>
  <pageMargins left="0.75" right="0.75" top="1" bottom="1" header="0.5" footer="0.5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L22" sqref="L22"/>
    </sheetView>
  </sheetViews>
  <sheetFormatPr defaultColWidth="9" defaultRowHeight="13.5"/>
  <cols>
    <col min="1" max="1" width="15.625" customWidth="1"/>
    <col min="3" max="3" width="9.375"/>
    <col min="8" max="8" width="9.375"/>
  </cols>
  <sheetData>
    <row r="1" ht="16.5" spans="1:9">
      <c r="A1" s="116">
        <v>308</v>
      </c>
      <c r="B1" s="2">
        <f>SUM(B3:B23)</f>
        <v>5092.2</v>
      </c>
      <c r="C1" s="3" cm="1">
        <f t="array" ref="C1">SUMPRODUCT(C3:C23*B3:B23)/B1</f>
        <v>236.253501433565</v>
      </c>
      <c r="D1" s="4" cm="1">
        <f t="array" ref="D1">SUMPRODUCT(B3:B23*D3:D23)/B1</f>
        <v>4.88944424806567</v>
      </c>
      <c r="E1" s="3" cm="1">
        <f t="array" ref="E1">SUMPRODUCT(B3:B23*E3:E23)/B1</f>
        <v>91.5318212167629</v>
      </c>
      <c r="F1" s="3" cm="1">
        <f t="array" ref="F1">SUMPRODUCT(B3:B23*F3:F23)/B1</f>
        <v>97.4107694120419</v>
      </c>
      <c r="G1" s="3" cm="1">
        <f t="array" ref="G1">SUMPRODUCT(B3:B23*G3:G23)/B1</f>
        <v>12.5572369506304</v>
      </c>
    </row>
    <row r="2" ht="16.5" spans="1:9">
      <c r="A2" s="6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9">
      <c r="A3" s="54" t="s">
        <v>603</v>
      </c>
      <c r="B3" s="9">
        <v>509.4</v>
      </c>
      <c r="C3" s="10">
        <v>295.1</v>
      </c>
      <c r="D3" s="11">
        <v>5.11</v>
      </c>
      <c r="E3" s="12">
        <v>96.3</v>
      </c>
      <c r="F3" s="12">
        <v>99.5</v>
      </c>
      <c r="G3" s="11">
        <v>11.87</v>
      </c>
      <c r="H3" s="34">
        <v>24090116</v>
      </c>
      <c r="I3" s="181" t="s">
        <v>604</v>
      </c>
    </row>
    <row r="4" ht="16.5" spans="1:9">
      <c r="A4" s="54" t="s">
        <v>605</v>
      </c>
      <c r="B4" s="9">
        <v>492.2</v>
      </c>
      <c r="C4" s="10">
        <v>292.2</v>
      </c>
      <c r="D4" s="11">
        <v>5.11</v>
      </c>
      <c r="E4" s="12">
        <v>96</v>
      </c>
      <c r="F4" s="12">
        <v>99.4</v>
      </c>
      <c r="G4" s="11">
        <v>11.91</v>
      </c>
      <c r="H4" s="34">
        <v>24090117</v>
      </c>
      <c r="I4" s="181" t="s">
        <v>606</v>
      </c>
    </row>
    <row r="5" ht="16.5" spans="1:9">
      <c r="A5" s="54" t="s">
        <v>607</v>
      </c>
      <c r="B5" s="9">
        <v>493.6</v>
      </c>
      <c r="C5" s="10">
        <v>262.6</v>
      </c>
      <c r="D5" s="11">
        <v>5.6</v>
      </c>
      <c r="E5" s="12">
        <v>92</v>
      </c>
      <c r="F5" s="12">
        <v>97.4</v>
      </c>
      <c r="G5" s="11">
        <v>12.79</v>
      </c>
      <c r="H5" s="34">
        <v>24090126</v>
      </c>
      <c r="I5" s="181" t="s">
        <v>608</v>
      </c>
    </row>
    <row r="6" ht="16.5" spans="1:9">
      <c r="A6" s="54" t="s">
        <v>609</v>
      </c>
      <c r="B6" s="9">
        <v>468.6</v>
      </c>
      <c r="C6" s="10">
        <v>260.2</v>
      </c>
      <c r="D6" s="11">
        <v>5.55</v>
      </c>
      <c r="E6" s="12">
        <v>93</v>
      </c>
      <c r="F6" s="12">
        <v>98</v>
      </c>
      <c r="G6" s="11">
        <v>12.97</v>
      </c>
      <c r="H6" s="34">
        <v>24090127</v>
      </c>
      <c r="I6" s="181" t="s">
        <v>610</v>
      </c>
    </row>
    <row r="7" ht="16.5" spans="1:9">
      <c r="A7" s="54" t="s">
        <v>611</v>
      </c>
      <c r="B7" s="9">
        <v>515.4</v>
      </c>
      <c r="C7" s="10">
        <v>281.5</v>
      </c>
      <c r="D7" s="11">
        <v>5.22</v>
      </c>
      <c r="E7" s="12">
        <v>95.4</v>
      </c>
      <c r="F7" s="12">
        <v>99</v>
      </c>
      <c r="G7" s="11">
        <v>11.31</v>
      </c>
      <c r="H7" s="94">
        <v>24090091</v>
      </c>
      <c r="I7" s="181" t="s">
        <v>612</v>
      </c>
    </row>
    <row r="8" ht="16.5" spans="1:9">
      <c r="A8" s="54" t="s">
        <v>613</v>
      </c>
      <c r="B8" s="9">
        <v>512.2</v>
      </c>
      <c r="C8" s="10">
        <v>281.9</v>
      </c>
      <c r="D8" s="11">
        <v>5.16</v>
      </c>
      <c r="E8" s="12">
        <v>95.6</v>
      </c>
      <c r="F8" s="12">
        <v>99.3</v>
      </c>
      <c r="G8" s="11">
        <v>11.29</v>
      </c>
      <c r="H8" s="94">
        <v>24090092</v>
      </c>
      <c r="I8" s="181" t="s">
        <v>614</v>
      </c>
    </row>
    <row r="9" ht="16.5" spans="1:9">
      <c r="A9" s="54" t="s">
        <v>615</v>
      </c>
      <c r="B9" s="9">
        <v>519.2</v>
      </c>
      <c r="C9" s="10">
        <v>189.4</v>
      </c>
      <c r="D9" s="11">
        <v>5.13</v>
      </c>
      <c r="E9" s="12">
        <v>68.6</v>
      </c>
      <c r="F9" s="12">
        <v>86.1</v>
      </c>
      <c r="G9" s="11">
        <v>12.06</v>
      </c>
      <c r="H9" s="94">
        <v>24090055</v>
      </c>
      <c r="I9" s="181" t="s">
        <v>616</v>
      </c>
    </row>
    <row r="10" ht="16.5" spans="1:9">
      <c r="A10" s="54" t="s">
        <v>617</v>
      </c>
      <c r="B10" s="9">
        <v>539</v>
      </c>
      <c r="C10" s="10">
        <v>258.1</v>
      </c>
      <c r="D10" s="11">
        <v>5.87</v>
      </c>
      <c r="E10" s="12">
        <v>93.9</v>
      </c>
      <c r="F10" s="12">
        <v>98.5</v>
      </c>
      <c r="G10" s="11">
        <v>12.53</v>
      </c>
      <c r="H10" s="9">
        <v>24090096</v>
      </c>
      <c r="I10" s="181" t="s">
        <v>618</v>
      </c>
    </row>
    <row r="11" ht="16.5" spans="1:9">
      <c r="A11" s="54" t="s">
        <v>619</v>
      </c>
      <c r="B11" s="9">
        <v>532</v>
      </c>
      <c r="C11" s="10">
        <v>127.5</v>
      </c>
      <c r="D11" s="11">
        <v>3.18</v>
      </c>
      <c r="E11" s="12">
        <v>92.3</v>
      </c>
      <c r="F11" s="12">
        <v>98.4</v>
      </c>
      <c r="G11" s="11">
        <v>14.34</v>
      </c>
      <c r="H11" s="9">
        <v>24100180</v>
      </c>
      <c r="I11" s="7" t="s">
        <v>620</v>
      </c>
    </row>
    <row r="12" ht="16.5" spans="1:9">
      <c r="A12" s="54" t="s">
        <v>621</v>
      </c>
      <c r="B12" s="9">
        <v>510.6</v>
      </c>
      <c r="C12" s="10">
        <v>122.6</v>
      </c>
      <c r="D12" s="11">
        <v>3.06</v>
      </c>
      <c r="E12" s="12">
        <v>92.7</v>
      </c>
      <c r="F12" s="12">
        <v>98.7</v>
      </c>
      <c r="G12" s="11">
        <v>14.47</v>
      </c>
      <c r="H12" s="9">
        <v>24100181</v>
      </c>
      <c r="I12" s="19" t="s">
        <v>622</v>
      </c>
    </row>
  </sheetData>
  <conditionalFormatting sqref="A1:A2">
    <cfRule type="duplicateValues" dxfId="0" priority="9"/>
  </conditionalFormatting>
  <dataValidations count="1">
    <dataValidation allowBlank="1" showInputMessage="1" showErrorMessage="1" sqref="B3:C12"/>
  </dataValidations>
  <pageMargins left="0.75" right="0.75" top="1" bottom="1" header="0.5" footer="0.5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K15" sqref="K15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  <col min="19" max="19" width="15.625" customWidth="1"/>
  </cols>
  <sheetData>
    <row r="1" ht="16.5" spans="1:21">
      <c r="A1" s="116">
        <v>309</v>
      </c>
      <c r="B1" s="2">
        <f>SUM(B3:B23)</f>
        <v>5033.2</v>
      </c>
      <c r="C1" s="3" cm="1">
        <f t="array" ref="C1">SUMPRODUCT(C3:C23*B3:B23)/B1</f>
        <v>102.932202177541</v>
      </c>
      <c r="D1" s="4" cm="1">
        <f t="array" ref="D1">SUMPRODUCT(B3:B23*D3:D23)/B1</f>
        <v>2.76839942779941</v>
      </c>
      <c r="E1" s="3" cm="1">
        <f t="array" ref="E1">SUMPRODUCT(B3:B23*E3:E23)/B1</f>
        <v>65.9823809902249</v>
      </c>
      <c r="F1" s="3" cm="1">
        <f t="array" ref="F1">SUMPRODUCT(B3:B23*F3:F23)/B1</f>
        <v>88.477719939601</v>
      </c>
      <c r="J1" s="116">
        <v>310</v>
      </c>
      <c r="K1" s="2">
        <f>SUM(K3:K23)</f>
        <v>5041.4</v>
      </c>
      <c r="L1" s="3" cm="1">
        <f t="array" ref="L1">SUMPRODUCT(L3:L23*K3:K23)/K1</f>
        <v>104.362835720236</v>
      </c>
      <c r="M1" s="4" cm="1">
        <f t="array" ref="M1">SUMPRODUCT(K3:K23*M3:M23)/K1</f>
        <v>2.76680604593962</v>
      </c>
      <c r="N1" s="3" cm="1">
        <f t="array" ref="N1">SUMPRODUCT(K3:K23*N3:N23)/K1</f>
        <v>68.3269488634109</v>
      </c>
      <c r="O1" s="3" cm="1">
        <f t="array" ref="O1">SUMPRODUCT(K3:K23*O3:O23)/K1</f>
        <v>90.1065299321617</v>
      </c>
    </row>
    <row r="2" ht="16.5" spans="1:21">
      <c r="A2" s="6">
        <v>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>
        <v>80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21">
      <c r="A3" s="39" t="s">
        <v>623</v>
      </c>
      <c r="B3" s="9">
        <v>484.6</v>
      </c>
      <c r="C3" s="10">
        <v>135.5</v>
      </c>
      <c r="D3" s="11">
        <v>3.49</v>
      </c>
      <c r="E3" s="12">
        <v>68.1</v>
      </c>
      <c r="F3" s="12">
        <v>88.6</v>
      </c>
      <c r="G3" s="34">
        <v>25020343</v>
      </c>
      <c r="J3" s="39" t="s">
        <v>624</v>
      </c>
      <c r="K3" s="9">
        <v>514</v>
      </c>
      <c r="L3" s="10">
        <v>108</v>
      </c>
      <c r="M3" s="11">
        <v>2.74</v>
      </c>
      <c r="N3" s="12">
        <v>67.2</v>
      </c>
      <c r="O3" s="12">
        <v>89.3</v>
      </c>
      <c r="P3" s="34">
        <v>25020401</v>
      </c>
    </row>
    <row r="4" ht="16.5" spans="1:21">
      <c r="A4" s="39" t="s">
        <v>625</v>
      </c>
      <c r="B4" s="9">
        <v>510.4</v>
      </c>
      <c r="C4" s="10">
        <v>123.5</v>
      </c>
      <c r="D4" s="11">
        <v>3.12</v>
      </c>
      <c r="E4" s="12">
        <v>66.1</v>
      </c>
      <c r="F4" s="12">
        <v>87.6</v>
      </c>
      <c r="G4" s="34">
        <v>25020344</v>
      </c>
      <c r="J4" s="39" t="s">
        <v>626</v>
      </c>
      <c r="K4" s="9">
        <v>434.6</v>
      </c>
      <c r="L4" s="10">
        <v>92.5</v>
      </c>
      <c r="M4" s="11">
        <v>2.44</v>
      </c>
      <c r="N4" s="12">
        <v>58.9</v>
      </c>
      <c r="O4" s="12">
        <v>84.9</v>
      </c>
      <c r="P4" s="34">
        <v>25020402</v>
      </c>
    </row>
    <row r="5" ht="16.5" spans="1:21">
      <c r="A5" s="39" t="s">
        <v>627</v>
      </c>
      <c r="B5" s="9">
        <v>520</v>
      </c>
      <c r="C5" s="10">
        <v>94.9</v>
      </c>
      <c r="D5" s="11">
        <v>2.54</v>
      </c>
      <c r="E5" s="12">
        <v>58</v>
      </c>
      <c r="F5" s="12">
        <v>82.8</v>
      </c>
      <c r="G5" s="34">
        <v>25020346</v>
      </c>
      <c r="J5" s="39" t="s">
        <v>628</v>
      </c>
      <c r="K5" s="9">
        <v>245.8</v>
      </c>
      <c r="L5" s="10">
        <v>84.2</v>
      </c>
      <c r="M5" s="11">
        <v>2.31</v>
      </c>
      <c r="N5" s="12">
        <v>54.8</v>
      </c>
      <c r="O5" s="12">
        <v>82.2</v>
      </c>
      <c r="P5" s="34">
        <v>25020403</v>
      </c>
    </row>
    <row r="6" ht="16.5" spans="1:21">
      <c r="A6" s="39" t="s">
        <v>629</v>
      </c>
      <c r="B6" s="9">
        <v>513.8</v>
      </c>
      <c r="C6" s="10">
        <v>108.1</v>
      </c>
      <c r="D6" s="11">
        <v>2.9</v>
      </c>
      <c r="E6" s="12">
        <v>64</v>
      </c>
      <c r="F6" s="12">
        <v>88.4</v>
      </c>
      <c r="G6" s="34">
        <v>25020230</v>
      </c>
      <c r="J6" s="39" t="s">
        <v>630</v>
      </c>
      <c r="K6" s="9">
        <v>546.4</v>
      </c>
      <c r="L6" s="10">
        <v>93.6</v>
      </c>
      <c r="M6" s="11">
        <v>2.35</v>
      </c>
      <c r="N6" s="12">
        <v>72.2</v>
      </c>
      <c r="O6" s="12">
        <v>92.5</v>
      </c>
      <c r="P6" s="34">
        <v>25030121</v>
      </c>
    </row>
    <row r="7" ht="16.5" spans="1:21">
      <c r="A7" s="39" t="s">
        <v>631</v>
      </c>
      <c r="B7" s="9">
        <v>541</v>
      </c>
      <c r="C7" s="10">
        <v>97.8</v>
      </c>
      <c r="D7" s="11">
        <v>2.67</v>
      </c>
      <c r="E7" s="12">
        <v>64.2</v>
      </c>
      <c r="F7" s="12">
        <v>88.2</v>
      </c>
      <c r="G7" s="34">
        <v>25020202</v>
      </c>
      <c r="J7" s="39" t="s">
        <v>632</v>
      </c>
      <c r="K7" s="9">
        <v>512.4</v>
      </c>
      <c r="L7" s="10">
        <v>91.5</v>
      </c>
      <c r="M7" s="11">
        <v>2.31</v>
      </c>
      <c r="N7" s="12">
        <v>71.8</v>
      </c>
      <c r="O7" s="12">
        <v>92.2</v>
      </c>
      <c r="P7" s="34">
        <v>25030122</v>
      </c>
    </row>
    <row r="8" ht="16.5" spans="1:21">
      <c r="A8" s="39" t="s">
        <v>633</v>
      </c>
      <c r="B8" s="9">
        <v>521</v>
      </c>
      <c r="C8" s="10">
        <v>132.6</v>
      </c>
      <c r="D8" s="11">
        <v>3.24</v>
      </c>
      <c r="E8" s="12">
        <v>82.3</v>
      </c>
      <c r="F8" s="12">
        <v>96.1</v>
      </c>
      <c r="G8" s="34">
        <v>25020368</v>
      </c>
      <c r="J8" s="39" t="s">
        <v>634</v>
      </c>
      <c r="K8" s="9">
        <v>505.6</v>
      </c>
      <c r="L8" s="10">
        <v>121.9</v>
      </c>
      <c r="M8" s="11">
        <v>3.34</v>
      </c>
      <c r="N8" s="12">
        <v>64.8</v>
      </c>
      <c r="O8" s="12">
        <v>88.7</v>
      </c>
      <c r="P8" s="34">
        <v>25020228</v>
      </c>
      <c r="S8" s="23" t="s">
        <v>635</v>
      </c>
      <c r="T8" s="14">
        <v>515</v>
      </c>
      <c r="U8" s="14">
        <v>25020145</v>
      </c>
    </row>
    <row r="9" ht="16.5" spans="1:21">
      <c r="A9" s="39" t="s">
        <v>636</v>
      </c>
      <c r="B9" s="9">
        <v>466.4</v>
      </c>
      <c r="C9" s="10">
        <v>72.9</v>
      </c>
      <c r="D9" s="11">
        <v>2.14</v>
      </c>
      <c r="E9" s="12">
        <v>63.4</v>
      </c>
      <c r="F9" s="12">
        <v>89.2</v>
      </c>
      <c r="G9" s="34">
        <v>25020146</v>
      </c>
      <c r="J9" s="39" t="s">
        <v>637</v>
      </c>
      <c r="K9" s="9">
        <v>780.6</v>
      </c>
      <c r="L9" s="10">
        <v>140.1</v>
      </c>
      <c r="M9" s="11">
        <v>3.73</v>
      </c>
      <c r="N9" s="12">
        <v>79.9</v>
      </c>
      <c r="O9" s="12">
        <v>95.6</v>
      </c>
      <c r="P9" s="34">
        <v>25030088</v>
      </c>
      <c r="S9" s="23" t="s">
        <v>638</v>
      </c>
      <c r="T9" s="14">
        <v>553.2</v>
      </c>
      <c r="U9" s="14">
        <v>25010312</v>
      </c>
    </row>
    <row r="10" ht="16.5" spans="1:21">
      <c r="A10" s="39" t="s">
        <v>639</v>
      </c>
      <c r="B10" s="9">
        <v>510.8</v>
      </c>
      <c r="C10" s="10">
        <v>82.7</v>
      </c>
      <c r="D10" s="11">
        <v>2.41</v>
      </c>
      <c r="E10" s="12">
        <v>61.6</v>
      </c>
      <c r="F10" s="12">
        <v>86.6</v>
      </c>
      <c r="G10" s="34">
        <v>25020065</v>
      </c>
      <c r="J10" s="39" t="s">
        <v>640</v>
      </c>
      <c r="K10" s="9">
        <v>0</v>
      </c>
      <c r="L10" s="10">
        <v>90.5</v>
      </c>
      <c r="M10" s="11">
        <v>2.51</v>
      </c>
      <c r="N10" s="12">
        <v>57.5</v>
      </c>
      <c r="O10" s="12">
        <v>82.1</v>
      </c>
      <c r="P10" s="34">
        <v>25020345</v>
      </c>
      <c r="S10" s="23" t="s">
        <v>641</v>
      </c>
      <c r="T10" s="14">
        <v>528.6</v>
      </c>
      <c r="U10" s="14">
        <v>25010373</v>
      </c>
    </row>
    <row r="11" ht="16.5" spans="1:21">
      <c r="A11" s="39" t="s">
        <v>642</v>
      </c>
      <c r="B11" s="9">
        <v>522.8</v>
      </c>
      <c r="C11" s="10">
        <v>87.3</v>
      </c>
      <c r="D11" s="11">
        <v>2.48</v>
      </c>
      <c r="E11" s="12">
        <v>65.1</v>
      </c>
      <c r="F11" s="12">
        <v>88.3</v>
      </c>
      <c r="G11" s="34">
        <v>25020064</v>
      </c>
      <c r="J11" s="39" t="s">
        <v>643</v>
      </c>
      <c r="K11" s="9">
        <v>593.4</v>
      </c>
      <c r="L11" s="10">
        <v>111.9</v>
      </c>
      <c r="M11" s="11">
        <v>2.9</v>
      </c>
      <c r="N11" s="12">
        <v>77.3</v>
      </c>
      <c r="O11" s="12">
        <v>94.4</v>
      </c>
      <c r="P11" s="34">
        <v>25030156</v>
      </c>
      <c r="S11" s="23" t="s">
        <v>644</v>
      </c>
      <c r="T11" s="14">
        <v>520.2</v>
      </c>
      <c r="U11" s="14">
        <v>25010374</v>
      </c>
    </row>
    <row r="12" ht="16.5" spans="1:21">
      <c r="A12" s="39" t="s">
        <v>645</v>
      </c>
      <c r="B12" s="9">
        <v>442.4</v>
      </c>
      <c r="C12" s="10">
        <v>91.8</v>
      </c>
      <c r="D12" s="11">
        <v>2.67</v>
      </c>
      <c r="E12" s="12">
        <v>67</v>
      </c>
      <c r="F12" s="12">
        <v>89.1</v>
      </c>
      <c r="G12" s="34">
        <v>25010366</v>
      </c>
      <c r="J12" s="39" t="s">
        <v>646</v>
      </c>
      <c r="K12" s="9">
        <v>393.6</v>
      </c>
      <c r="L12" s="10">
        <v>82.4</v>
      </c>
      <c r="M12" s="11">
        <v>2.28</v>
      </c>
      <c r="N12" s="12">
        <v>52.6</v>
      </c>
      <c r="O12" s="12">
        <v>80.9</v>
      </c>
      <c r="P12" s="34">
        <v>25020404</v>
      </c>
    </row>
    <row r="13" ht="16.5" spans="1:21">
      <c r="J13" s="39" t="s">
        <v>635</v>
      </c>
      <c r="K13" s="9">
        <v>515</v>
      </c>
      <c r="L13" s="10">
        <v>81.3</v>
      </c>
      <c r="M13" s="11">
        <v>2.38</v>
      </c>
      <c r="N13" s="12">
        <v>63.9</v>
      </c>
      <c r="O13" s="12">
        <v>89.6</v>
      </c>
      <c r="P13" s="9">
        <v>25020145</v>
      </c>
    </row>
    <row r="14" ht="16.5" spans="1:21">
      <c r="J14" s="115"/>
      <c r="K14" s="109"/>
      <c r="L14" s="111"/>
      <c r="M14" s="112"/>
      <c r="N14" s="113"/>
      <c r="O14" s="113"/>
      <c r="P14" s="109"/>
    </row>
    <row r="15" ht="16.5" spans="1:21">
      <c r="J15" s="23"/>
      <c r="K15" s="14"/>
      <c r="L15" s="15"/>
      <c r="M15" s="16"/>
      <c r="N15" s="17"/>
      <c r="O15" s="17"/>
      <c r="P15" s="14"/>
    </row>
    <row r="16" ht="16.5" spans="1:21">
      <c r="J16" s="23"/>
      <c r="K16" s="14"/>
      <c r="L16" s="15"/>
      <c r="M16" s="16"/>
      <c r="N16" s="17"/>
      <c r="O16" s="17"/>
      <c r="P16" s="14"/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L12 L3:L5 T8:T11 K6:L11 B3:C12 K13:L16"/>
  </dataValidations>
  <pageMargins left="0.75" right="0.75" top="1" bottom="1" header="0.5" footer="0.5"/>
  <pageSetup paperSize="9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L1" sqref="L$1:N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311</v>
      </c>
      <c r="B1" s="2">
        <f>SUM(B3:B23)</f>
        <v>5047.4</v>
      </c>
      <c r="C1" s="3" cm="1">
        <f t="array" ref="C1">SUMPRODUCT(C3:C23*B3:B23)/B1</f>
        <v>258.415889368784</v>
      </c>
      <c r="D1" s="4" cm="1">
        <f t="array" ref="D1">SUMPRODUCT(B3:B23*D3:D23)/B1</f>
        <v>4.96627095138091</v>
      </c>
      <c r="E1" s="3" cm="1">
        <f t="array" ref="E1">SUMPRODUCT(B3:B23*E3:E23)/B1</f>
        <v>85.7907199746404</v>
      </c>
      <c r="F1" s="3" cm="1">
        <f t="array" ref="F1">SUMPRODUCT(B3:B23*F3:F23)/B1</f>
        <v>96.5621745849348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647</v>
      </c>
      <c r="B3" s="9">
        <v>498.6</v>
      </c>
      <c r="C3" s="10">
        <v>278.8</v>
      </c>
      <c r="D3" s="11">
        <v>4.89</v>
      </c>
      <c r="E3" s="12">
        <v>90</v>
      </c>
      <c r="F3" s="12">
        <v>98.3</v>
      </c>
      <c r="G3" s="34">
        <v>25020444</v>
      </c>
    </row>
    <row r="4" ht="16.5" spans="1:7">
      <c r="A4" s="39" t="s">
        <v>648</v>
      </c>
      <c r="B4" s="9">
        <v>508.4</v>
      </c>
      <c r="C4" s="10">
        <v>206</v>
      </c>
      <c r="D4" s="11">
        <v>4.91</v>
      </c>
      <c r="E4" s="12">
        <v>79.9</v>
      </c>
      <c r="F4" s="12">
        <v>94</v>
      </c>
      <c r="G4" s="34">
        <v>25020422</v>
      </c>
    </row>
    <row r="5" ht="16.5" spans="1:7">
      <c r="A5" s="39" t="s">
        <v>649</v>
      </c>
      <c r="B5" s="9">
        <v>218.4</v>
      </c>
      <c r="C5" s="10">
        <v>191.7</v>
      </c>
      <c r="D5" s="11">
        <v>4.86</v>
      </c>
      <c r="E5" s="12">
        <v>67.2</v>
      </c>
      <c r="F5" s="12">
        <v>89.2</v>
      </c>
      <c r="G5" s="34">
        <v>25020197</v>
      </c>
    </row>
    <row r="6" ht="16.5" spans="1:7">
      <c r="A6" s="39" t="s">
        <v>650</v>
      </c>
      <c r="B6" s="9">
        <v>220.2</v>
      </c>
      <c r="C6" s="10">
        <v>288.2</v>
      </c>
      <c r="D6" s="11">
        <v>4.97</v>
      </c>
      <c r="E6" s="12">
        <v>89.2</v>
      </c>
      <c r="F6" s="12">
        <v>97.8</v>
      </c>
      <c r="G6" s="34">
        <v>25010377</v>
      </c>
    </row>
    <row r="7" ht="16.5" spans="1:7">
      <c r="A7" s="39" t="s">
        <v>651</v>
      </c>
      <c r="B7" s="9">
        <v>474</v>
      </c>
      <c r="C7" s="10">
        <v>281.1</v>
      </c>
      <c r="D7" s="11">
        <v>4.89</v>
      </c>
      <c r="E7" s="12">
        <v>89.5</v>
      </c>
      <c r="F7" s="12">
        <v>97.9</v>
      </c>
      <c r="G7" s="34">
        <v>25010378</v>
      </c>
    </row>
    <row r="8" ht="16.5" spans="1:7">
      <c r="A8" s="39" t="s">
        <v>652</v>
      </c>
      <c r="B8" s="9">
        <v>512.6</v>
      </c>
      <c r="C8" s="10">
        <v>260.6</v>
      </c>
      <c r="D8" s="11">
        <v>5</v>
      </c>
      <c r="E8" s="12">
        <v>90</v>
      </c>
      <c r="F8" s="12">
        <v>98</v>
      </c>
      <c r="G8" s="34">
        <v>25010516</v>
      </c>
    </row>
    <row r="9" ht="16.5" spans="1:7">
      <c r="A9" s="39" t="s">
        <v>653</v>
      </c>
      <c r="B9" s="9">
        <v>216.4</v>
      </c>
      <c r="C9" s="10">
        <v>299.1</v>
      </c>
      <c r="D9" s="11">
        <v>4.55</v>
      </c>
      <c r="E9" s="12">
        <v>91.4</v>
      </c>
      <c r="F9" s="12">
        <v>98.5</v>
      </c>
      <c r="G9" s="34">
        <v>25030123</v>
      </c>
    </row>
    <row r="10" ht="16.5" spans="1:7">
      <c r="A10" s="39" t="s">
        <v>654</v>
      </c>
      <c r="B10" s="9">
        <v>467</v>
      </c>
      <c r="C10" s="10">
        <v>283.5</v>
      </c>
      <c r="D10" s="11">
        <v>4.69</v>
      </c>
      <c r="E10" s="12">
        <v>91.2</v>
      </c>
      <c r="F10" s="12">
        <v>98.2</v>
      </c>
      <c r="G10" s="34">
        <v>25030128</v>
      </c>
    </row>
    <row r="11" ht="16.5" spans="1:7">
      <c r="A11" s="39" t="s">
        <v>655</v>
      </c>
      <c r="B11" s="9">
        <v>506.8</v>
      </c>
      <c r="C11" s="10">
        <v>184.2</v>
      </c>
      <c r="D11" s="11">
        <v>5.22</v>
      </c>
      <c r="E11" s="12">
        <v>69.7</v>
      </c>
      <c r="F11" s="12">
        <v>91.4</v>
      </c>
      <c r="G11" s="34">
        <v>25030054</v>
      </c>
    </row>
    <row r="12" ht="16.5" spans="1:7">
      <c r="A12" s="39" t="s">
        <v>656</v>
      </c>
      <c r="B12" s="9">
        <v>488.4</v>
      </c>
      <c r="C12" s="10">
        <v>286.2</v>
      </c>
      <c r="D12" s="11">
        <v>5</v>
      </c>
      <c r="E12" s="12">
        <v>89.7</v>
      </c>
      <c r="F12" s="12">
        <v>98</v>
      </c>
      <c r="G12" s="34">
        <v>25030007</v>
      </c>
    </row>
    <row r="13" ht="16.5" spans="1:7">
      <c r="A13" s="39" t="s">
        <v>657</v>
      </c>
      <c r="B13" s="9">
        <v>511.8</v>
      </c>
      <c r="C13" s="10">
        <v>281.3</v>
      </c>
      <c r="D13" s="11">
        <v>5.11</v>
      </c>
      <c r="E13" s="12">
        <v>90</v>
      </c>
      <c r="F13" s="12">
        <v>98.1</v>
      </c>
      <c r="G13" s="34">
        <v>25030008</v>
      </c>
    </row>
    <row r="14" ht="16.5" spans="1:7">
      <c r="A14" s="39" t="s">
        <v>532</v>
      </c>
      <c r="B14" s="9">
        <v>137.2</v>
      </c>
      <c r="C14" s="10">
        <v>253.9</v>
      </c>
      <c r="D14" s="11">
        <v>5.35</v>
      </c>
      <c r="E14" s="12">
        <v>80.8</v>
      </c>
      <c r="F14" s="12">
        <v>95</v>
      </c>
      <c r="G14" s="34">
        <v>25020460</v>
      </c>
    </row>
    <row r="15" ht="16.5" spans="1:7">
      <c r="A15" s="39" t="s">
        <v>658</v>
      </c>
      <c r="B15" s="9">
        <v>287.6</v>
      </c>
      <c r="C15" s="10">
        <v>276</v>
      </c>
      <c r="D15" s="11">
        <v>5.16</v>
      </c>
      <c r="E15" s="12">
        <v>90.4</v>
      </c>
      <c r="F15" s="12">
        <v>98.5</v>
      </c>
      <c r="G15" s="34">
        <v>25020449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15"/>
  </dataValidations>
  <pageMargins left="0.75" right="0.75" top="1" bottom="1" header="0.5" footer="0.5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E26" sqref="E26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</cols>
  <sheetData>
    <row r="1" ht="16.5" spans="1:16">
      <c r="A1" s="116">
        <v>14</v>
      </c>
      <c r="B1" s="2">
        <f>SUM(B3:B23)</f>
        <v>5074.4</v>
      </c>
      <c r="C1" s="3" cm="1">
        <f t="array" ref="C1">SUMPRODUCT(C3:C23*B3:B23)/B1</f>
        <v>216.84175469021</v>
      </c>
      <c r="D1" s="4" cm="1">
        <f t="array" ref="D1">SUMPRODUCT(B3:B23*D3:D23)/B1</f>
        <v>4.96783698565348</v>
      </c>
      <c r="E1" s="3" cm="1">
        <f t="array" ref="E1">SUMPRODUCT(B3:B23*E3:E23)/B1</f>
        <v>83.7687056597824</v>
      </c>
      <c r="F1" s="3" cm="1">
        <f t="array" ref="F1">SUMPRODUCT(B3:B23*F3:F23)/B1</f>
        <v>95.5713739555415</v>
      </c>
      <c r="J1" s="116">
        <v>13</v>
      </c>
      <c r="K1" s="2">
        <f>SUM(K3:K23)</f>
        <v>5085</v>
      </c>
      <c r="L1" s="3" cm="1">
        <f t="array" ref="L1">SUMPRODUCT(L3:L23*K3:K23)/K1</f>
        <v>216.339260570305</v>
      </c>
      <c r="M1" s="4" cm="1">
        <f t="array" ref="M1">SUMPRODUCT(K3:K23*M3:M23)/K1</f>
        <v>4.97364405113078</v>
      </c>
      <c r="N1" s="3" cm="1">
        <f t="array" ref="N1">SUMPRODUCT(K3:K23*N3:N23)/K1</f>
        <v>83.3189852507375</v>
      </c>
      <c r="O1" s="3" cm="1">
        <f t="array" ref="O1">SUMPRODUCT(K3:K23*O3:O23)/K1</f>
        <v>95.7542222222222</v>
      </c>
    </row>
    <row r="2" ht="16.5" spans="1:16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>
        <v>200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39" t="s">
        <v>659</v>
      </c>
      <c r="B3" s="9">
        <v>500.4</v>
      </c>
      <c r="C3" s="10">
        <v>179.9</v>
      </c>
      <c r="D3" s="11">
        <v>4.17</v>
      </c>
      <c r="E3" s="12">
        <v>84.3</v>
      </c>
      <c r="F3" s="12">
        <v>96.3</v>
      </c>
      <c r="G3" s="34">
        <v>25030016</v>
      </c>
      <c r="J3" s="38" t="s">
        <v>660</v>
      </c>
      <c r="K3" s="34">
        <v>501.8</v>
      </c>
      <c r="L3" s="35">
        <v>226.9</v>
      </c>
      <c r="M3" s="36">
        <v>5.76</v>
      </c>
      <c r="N3" s="37">
        <v>80.7</v>
      </c>
      <c r="O3" s="37">
        <v>94.8</v>
      </c>
      <c r="P3" s="34">
        <v>25010469</v>
      </c>
    </row>
    <row r="4" ht="16.5" spans="1:16">
      <c r="A4" s="39" t="s">
        <v>661</v>
      </c>
      <c r="B4" s="9">
        <v>515</v>
      </c>
      <c r="C4" s="10">
        <v>170.4</v>
      </c>
      <c r="D4" s="11">
        <v>4.03</v>
      </c>
      <c r="E4" s="12">
        <v>83.9</v>
      </c>
      <c r="F4" s="12">
        <v>96.1</v>
      </c>
      <c r="G4" s="34">
        <v>25030017</v>
      </c>
      <c r="J4" s="38" t="s">
        <v>662</v>
      </c>
      <c r="K4" s="34">
        <v>478.2</v>
      </c>
      <c r="L4" s="35">
        <v>156.7</v>
      </c>
      <c r="M4" s="36">
        <v>3.91</v>
      </c>
      <c r="N4" s="37">
        <v>57.4</v>
      </c>
      <c r="O4" s="37">
        <v>84.2</v>
      </c>
      <c r="P4" s="34">
        <v>25010528</v>
      </c>
    </row>
    <row r="5" ht="16.5" spans="1:16">
      <c r="A5" s="39" t="s">
        <v>663</v>
      </c>
      <c r="B5" s="9">
        <v>187.2</v>
      </c>
      <c r="C5" s="10">
        <v>157.4</v>
      </c>
      <c r="D5" s="11">
        <v>3.18</v>
      </c>
      <c r="E5" s="12">
        <v>78.7</v>
      </c>
      <c r="F5" s="12">
        <v>94.2</v>
      </c>
      <c r="G5" s="34">
        <v>25030024</v>
      </c>
      <c r="J5" s="38" t="s">
        <v>664</v>
      </c>
      <c r="K5" s="34">
        <v>466.6</v>
      </c>
      <c r="L5" s="35">
        <v>240.6</v>
      </c>
      <c r="M5" s="36">
        <v>4.49</v>
      </c>
      <c r="N5" s="37">
        <v>92.4</v>
      </c>
      <c r="O5" s="37">
        <v>99.2</v>
      </c>
      <c r="P5" s="34">
        <v>25010547</v>
      </c>
    </row>
    <row r="6" ht="16.5" spans="1:16">
      <c r="A6" s="39" t="s">
        <v>665</v>
      </c>
      <c r="B6" s="9">
        <v>734.2</v>
      </c>
      <c r="C6" s="10">
        <v>253.7</v>
      </c>
      <c r="D6" s="11">
        <v>5.22</v>
      </c>
      <c r="E6" s="12">
        <v>89.8</v>
      </c>
      <c r="F6" s="12">
        <v>98.3</v>
      </c>
      <c r="G6" s="34">
        <v>25030111</v>
      </c>
      <c r="J6" s="38" t="s">
        <v>666</v>
      </c>
      <c r="K6" s="34">
        <v>264.8</v>
      </c>
      <c r="L6" s="35">
        <v>231.5</v>
      </c>
      <c r="M6" s="36">
        <v>5.13</v>
      </c>
      <c r="N6" s="37">
        <v>89.3</v>
      </c>
      <c r="O6" s="37">
        <v>98.4</v>
      </c>
      <c r="P6" s="34">
        <v>25010550</v>
      </c>
    </row>
    <row r="7" ht="16.5" spans="1:16">
      <c r="A7" s="39" t="s">
        <v>667</v>
      </c>
      <c r="B7" s="9">
        <v>423</v>
      </c>
      <c r="C7" s="10">
        <v>254.1</v>
      </c>
      <c r="D7" s="11">
        <v>5.38</v>
      </c>
      <c r="E7" s="12">
        <v>89.1</v>
      </c>
      <c r="F7" s="12">
        <v>98</v>
      </c>
      <c r="G7" s="34">
        <v>25030112</v>
      </c>
      <c r="J7" s="38" t="s">
        <v>668</v>
      </c>
      <c r="K7" s="34">
        <v>535</v>
      </c>
      <c r="L7" s="35">
        <v>188.6</v>
      </c>
      <c r="M7" s="36">
        <v>4.77</v>
      </c>
      <c r="N7" s="37">
        <v>83</v>
      </c>
      <c r="O7" s="37">
        <v>95.8</v>
      </c>
      <c r="P7" s="34">
        <v>25010606</v>
      </c>
    </row>
    <row r="8" ht="16.5" spans="1:16">
      <c r="A8" s="39" t="s">
        <v>669</v>
      </c>
      <c r="B8" s="9">
        <v>769.2</v>
      </c>
      <c r="C8" s="10">
        <v>225.1</v>
      </c>
      <c r="D8" s="11">
        <v>5.76</v>
      </c>
      <c r="E8" s="12">
        <v>80.9</v>
      </c>
      <c r="F8" s="12">
        <v>94.7</v>
      </c>
      <c r="G8" s="34">
        <v>25030113</v>
      </c>
      <c r="J8" s="38" t="s">
        <v>670</v>
      </c>
      <c r="K8" s="34">
        <v>523</v>
      </c>
      <c r="L8" s="35">
        <v>241.5</v>
      </c>
      <c r="M8" s="36">
        <v>4.72</v>
      </c>
      <c r="N8" s="37">
        <v>90.6</v>
      </c>
      <c r="O8" s="37">
        <v>98.8</v>
      </c>
      <c r="P8" s="34">
        <v>25020095</v>
      </c>
    </row>
    <row r="9" ht="16.5" spans="1:16">
      <c r="A9" s="39" t="s">
        <v>671</v>
      </c>
      <c r="B9" s="9">
        <v>510</v>
      </c>
      <c r="C9" s="10">
        <v>221.1</v>
      </c>
      <c r="D9" s="11">
        <v>5.73</v>
      </c>
      <c r="E9" s="12">
        <v>80.4</v>
      </c>
      <c r="F9" s="12">
        <v>94.7</v>
      </c>
      <c r="G9" s="34">
        <v>25030114</v>
      </c>
      <c r="J9" s="38" t="s">
        <v>672</v>
      </c>
      <c r="K9" s="34">
        <v>510.2</v>
      </c>
      <c r="L9" s="35">
        <v>212.2</v>
      </c>
      <c r="M9" s="36">
        <v>4.97</v>
      </c>
      <c r="N9" s="37">
        <v>85.3</v>
      </c>
      <c r="O9" s="37">
        <v>96.6</v>
      </c>
      <c r="P9" s="34">
        <v>25020159</v>
      </c>
    </row>
    <row r="10" ht="16.5" spans="1:16">
      <c r="A10" s="39" t="s">
        <v>673</v>
      </c>
      <c r="B10" s="9">
        <v>460.6</v>
      </c>
      <c r="C10" s="10">
        <v>193</v>
      </c>
      <c r="D10" s="11">
        <v>4.91</v>
      </c>
      <c r="E10" s="12">
        <v>77.4</v>
      </c>
      <c r="F10" s="12">
        <v>91.5</v>
      </c>
      <c r="G10" s="34">
        <v>25020472</v>
      </c>
      <c r="J10" s="38" t="s">
        <v>674</v>
      </c>
      <c r="K10" s="34">
        <v>510.4</v>
      </c>
      <c r="L10" s="35">
        <v>217.7</v>
      </c>
      <c r="M10" s="36">
        <v>5.19</v>
      </c>
      <c r="N10" s="37">
        <v>86.4</v>
      </c>
      <c r="O10" s="37">
        <v>97.4</v>
      </c>
      <c r="P10" s="34">
        <v>25020191</v>
      </c>
    </row>
    <row r="11" ht="16.5" spans="1:16">
      <c r="A11" s="39" t="s">
        <v>675</v>
      </c>
      <c r="B11" s="9">
        <v>464</v>
      </c>
      <c r="C11" s="10">
        <v>188.9</v>
      </c>
      <c r="D11" s="11">
        <v>4.94</v>
      </c>
      <c r="E11" s="12">
        <v>76.3</v>
      </c>
      <c r="F11" s="12">
        <v>91</v>
      </c>
      <c r="G11" s="34">
        <v>25020473</v>
      </c>
      <c r="J11" s="38" t="s">
        <v>676</v>
      </c>
      <c r="K11" s="34">
        <v>305.8</v>
      </c>
      <c r="L11" s="35">
        <v>243.1</v>
      </c>
      <c r="M11" s="36">
        <v>5.49</v>
      </c>
      <c r="N11" s="37">
        <v>80.3</v>
      </c>
      <c r="O11" s="37">
        <v>94.9</v>
      </c>
      <c r="P11" s="34">
        <v>25020459</v>
      </c>
    </row>
    <row r="12" ht="16.5" spans="1:16">
      <c r="A12" s="39" t="s">
        <v>677</v>
      </c>
      <c r="B12" s="9">
        <v>510.8</v>
      </c>
      <c r="C12" s="10">
        <v>268</v>
      </c>
      <c r="D12" s="11">
        <v>4.77</v>
      </c>
      <c r="E12" s="12">
        <v>92.1</v>
      </c>
      <c r="F12" s="12">
        <v>98.9</v>
      </c>
      <c r="G12" s="34">
        <v>25030144</v>
      </c>
      <c r="J12" s="38" t="s">
        <v>678</v>
      </c>
      <c r="K12" s="34">
        <v>509.8</v>
      </c>
      <c r="L12" s="35">
        <v>241.9</v>
      </c>
      <c r="M12" s="36">
        <v>5.41</v>
      </c>
      <c r="N12" s="37">
        <v>88.7</v>
      </c>
      <c r="O12" s="37">
        <v>97.9</v>
      </c>
      <c r="P12" s="34">
        <v>25030050</v>
      </c>
    </row>
    <row r="13" ht="16.5" spans="1:16">
      <c r="J13" s="38" t="s">
        <v>679</v>
      </c>
      <c r="K13" s="34">
        <v>479.4</v>
      </c>
      <c r="L13" s="35">
        <v>195</v>
      </c>
      <c r="M13" s="36">
        <v>5.08</v>
      </c>
      <c r="N13" s="37">
        <v>83</v>
      </c>
      <c r="O13" s="37">
        <v>95.7</v>
      </c>
      <c r="P13" s="34">
        <v>25030087</v>
      </c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B3:C12 K3:L13"/>
  </dataValidations>
  <pageMargins left="0.75" right="0.75" top="1" bottom="1" header="0.5" footer="0.5"/>
  <pageSetup paperSize="9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I26" sqref="I2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315</v>
      </c>
      <c r="B1" s="2">
        <f>SUM(B3:B23)</f>
        <v>5074.8</v>
      </c>
      <c r="C1" s="3" cm="1">
        <f t="array" ref="C1">SUMPRODUCT(C3:C23*B3:B23)/B1</f>
        <v>176.350733033814</v>
      </c>
      <c r="D1" s="4" cm="1">
        <f t="array" ref="D1">SUMPRODUCT(B3:B23*D3:D23)/B1</f>
        <v>3.94881886970915</v>
      </c>
      <c r="E1" s="3" cm="1">
        <f t="array" ref="E1">SUMPRODUCT(B3:B23*E3:E23)/B1</f>
        <v>79.7003231654449</v>
      </c>
      <c r="F1" s="3" cm="1">
        <f t="array" ref="F1">SUMPRODUCT(B3:B23*F3:F23)/B1</f>
        <v>94.551714353275</v>
      </c>
      <c r="G1" s="3" cm="1">
        <f t="array" ref="G1">SUMPRODUCT(B3:B23*G3:G23)/B1</f>
        <v>11.2477993221408</v>
      </c>
    </row>
    <row r="2" ht="16.5" spans="1: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680</v>
      </c>
      <c r="B3" s="9">
        <v>779.8</v>
      </c>
      <c r="C3" s="10">
        <v>111.3</v>
      </c>
      <c r="D3" s="11">
        <v>2.87</v>
      </c>
      <c r="E3" s="12">
        <v>76.9</v>
      </c>
      <c r="F3" s="12">
        <v>94.2</v>
      </c>
      <c r="G3" s="11">
        <v>11.39</v>
      </c>
      <c r="H3" s="34">
        <v>25030155</v>
      </c>
    </row>
    <row r="4" ht="16.5" spans="1:8">
      <c r="A4" s="39" t="s">
        <v>681</v>
      </c>
      <c r="B4" s="9">
        <v>499.8</v>
      </c>
      <c r="C4" s="10">
        <v>168.5</v>
      </c>
      <c r="D4" s="11">
        <v>4.63</v>
      </c>
      <c r="E4" s="12">
        <v>69.6</v>
      </c>
      <c r="F4" s="12">
        <v>90</v>
      </c>
      <c r="G4" s="11">
        <v>11.85</v>
      </c>
      <c r="H4" s="34">
        <v>25020254</v>
      </c>
    </row>
    <row r="5" ht="16.5" spans="1:8">
      <c r="A5" s="39" t="s">
        <v>682</v>
      </c>
      <c r="B5" s="9">
        <v>500.8</v>
      </c>
      <c r="C5" s="10">
        <v>260.6</v>
      </c>
      <c r="D5" s="11">
        <v>4.49</v>
      </c>
      <c r="E5" s="12">
        <v>90.4</v>
      </c>
      <c r="F5" s="12">
        <v>98.3</v>
      </c>
      <c r="G5" s="11">
        <v>11.37</v>
      </c>
      <c r="H5" s="34">
        <v>25010573</v>
      </c>
    </row>
    <row r="6" ht="16.5" spans="1:8">
      <c r="A6" s="39" t="s">
        <v>683</v>
      </c>
      <c r="B6" s="9">
        <v>505.8</v>
      </c>
      <c r="C6" s="10">
        <v>259.5</v>
      </c>
      <c r="D6" s="11">
        <v>4.49</v>
      </c>
      <c r="E6" s="12">
        <v>90.5</v>
      </c>
      <c r="F6" s="12">
        <v>98.6</v>
      </c>
      <c r="G6" s="11">
        <v>11.06</v>
      </c>
      <c r="H6" s="34">
        <v>25020010</v>
      </c>
    </row>
    <row r="7" ht="16.5" spans="1:8">
      <c r="A7" s="39" t="s">
        <v>684</v>
      </c>
      <c r="B7" s="9">
        <v>461.6</v>
      </c>
      <c r="C7" s="10">
        <v>191.5</v>
      </c>
      <c r="D7" s="11">
        <v>4.52</v>
      </c>
      <c r="E7" s="12">
        <v>86.6</v>
      </c>
      <c r="F7" s="12">
        <v>96.9</v>
      </c>
      <c r="G7" s="11">
        <v>11.57</v>
      </c>
      <c r="H7" s="34">
        <v>25020045</v>
      </c>
    </row>
    <row r="8" ht="16.5" spans="1:8">
      <c r="A8" s="39" t="s">
        <v>685</v>
      </c>
      <c r="B8" s="9">
        <v>502</v>
      </c>
      <c r="C8" s="10">
        <v>186</v>
      </c>
      <c r="D8" s="11">
        <v>4.38</v>
      </c>
      <c r="E8" s="12">
        <v>77.1</v>
      </c>
      <c r="F8" s="12">
        <v>93.3</v>
      </c>
      <c r="G8" s="11">
        <v>11.25</v>
      </c>
      <c r="H8" s="34">
        <v>25020048</v>
      </c>
    </row>
    <row r="9" ht="16.5" spans="1:8">
      <c r="A9" s="39" t="s">
        <v>686</v>
      </c>
      <c r="B9" s="9">
        <v>450.6</v>
      </c>
      <c r="C9" s="10">
        <v>152.2</v>
      </c>
      <c r="D9" s="11">
        <v>3.89</v>
      </c>
      <c r="E9" s="12">
        <v>80.9</v>
      </c>
      <c r="F9" s="12">
        <v>95.4</v>
      </c>
      <c r="G9" s="11">
        <v>11.56</v>
      </c>
      <c r="H9" s="34">
        <v>25030152</v>
      </c>
    </row>
    <row r="10" ht="16.5" spans="1:8">
      <c r="A10" s="39" t="s">
        <v>687</v>
      </c>
      <c r="B10" s="9">
        <v>520.8</v>
      </c>
      <c r="C10" s="10">
        <v>145.8</v>
      </c>
      <c r="D10" s="11">
        <v>3.09</v>
      </c>
      <c r="E10" s="12">
        <v>79.6</v>
      </c>
      <c r="F10" s="12">
        <v>94.8</v>
      </c>
      <c r="G10" s="11">
        <v>10.5</v>
      </c>
      <c r="H10" s="34">
        <v>25030023</v>
      </c>
    </row>
    <row r="11" ht="16.5" spans="1:8">
      <c r="A11" s="39" t="s">
        <v>688</v>
      </c>
      <c r="B11" s="9">
        <v>347.8</v>
      </c>
      <c r="C11" s="10">
        <v>120.8</v>
      </c>
      <c r="D11" s="11">
        <v>2.77</v>
      </c>
      <c r="E11" s="12">
        <v>66.5</v>
      </c>
      <c r="F11" s="12">
        <v>89.2</v>
      </c>
      <c r="G11" s="11">
        <v>11.62</v>
      </c>
      <c r="H11" s="34">
        <v>25020288</v>
      </c>
    </row>
    <row r="12" ht="16.5" spans="1:8">
      <c r="A12" s="39" t="s">
        <v>689</v>
      </c>
      <c r="B12" s="9">
        <v>505.8</v>
      </c>
      <c r="C12" s="10">
        <v>185.6</v>
      </c>
      <c r="D12" s="11">
        <v>4.66</v>
      </c>
      <c r="E12" s="12">
        <v>77</v>
      </c>
      <c r="F12" s="12">
        <v>93.6</v>
      </c>
      <c r="G12" s="11">
        <v>10.44</v>
      </c>
      <c r="H12" s="34">
        <v>25030035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1 B12:C12 B3:C10"/>
  </dataValidations>
  <pageMargins left="0.75" right="0.75" top="1" bottom="1" header="0.5" footer="0.5"/>
  <pageSetup paperSize="9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E26" sqref="E26"/>
    </sheetView>
  </sheetViews>
  <sheetFormatPr defaultColWidth="9" defaultRowHeight="13.5"/>
  <cols>
    <col min="1" max="1" width="15.625" customWidth="1"/>
    <col min="10" max="10" width="18.625" customWidth="1"/>
  </cols>
  <sheetData>
    <row r="1" ht="16.5" spans="1:15">
      <c r="A1" s="116">
        <v>317</v>
      </c>
      <c r="B1" s="2">
        <f>SUM(B3:B23)</f>
        <v>5025.8</v>
      </c>
      <c r="C1" s="3" cm="1">
        <f t="array" ref="C1">SUMPRODUCT(C3:C23*B3:B23)/B1</f>
        <v>255.129686816029</v>
      </c>
      <c r="D1" s="4" cm="1">
        <f t="array" ref="D1">SUMPRODUCT(B3:B23*D3:D23)/B1</f>
        <v>4.95503521827371</v>
      </c>
      <c r="E1" s="3" cm="1">
        <f t="array" ref="E1">SUMPRODUCT(B3:B23*E3:E23)/B1</f>
        <v>84.7262207011819</v>
      </c>
      <c r="F1" s="3" cm="1">
        <f t="array" ref="F1">SUMPRODUCT(B3:B23*F3:F23)/B1</f>
        <v>95.6166341676947</v>
      </c>
      <c r="J1" s="116">
        <v>318</v>
      </c>
      <c r="K1" s="2">
        <f>SUM(K3:K23)</f>
        <v>5070.6</v>
      </c>
      <c r="L1" s="3" cm="1">
        <f t="array" ref="L1">SUMPRODUCT(L3:L23*K3:K23)/K1</f>
        <v>255.544487831815</v>
      </c>
      <c r="M1" s="4" cm="1">
        <f t="array" ref="M1">SUMPRODUCT(K3:K23*M3:M23)/K1</f>
        <v>4.95746854415651</v>
      </c>
      <c r="N1" s="3" cm="1">
        <f t="array" ref="N1">SUMPRODUCT(K3:K23*N3:N23)/K1</f>
        <v>84.6679485662446</v>
      </c>
      <c r="O1" s="3" cm="1">
        <f t="array" ref="O1">SUMPRODUCT(K3:K23*O3:O23)/K1</f>
        <v>95.6954798248728</v>
      </c>
    </row>
    <row r="2" ht="16.5" spans="1:15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>
        <v>240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5">
      <c r="A3" s="23" t="s">
        <v>690</v>
      </c>
      <c r="B3" s="14">
        <v>475.8</v>
      </c>
      <c r="C3" s="15">
        <v>255.7</v>
      </c>
      <c r="D3" s="16">
        <v>4.94</v>
      </c>
      <c r="E3" s="17">
        <v>86.9</v>
      </c>
      <c r="F3" s="17">
        <v>96</v>
      </c>
      <c r="J3" s="30" t="s">
        <v>691</v>
      </c>
      <c r="K3" s="24">
        <v>530.8</v>
      </c>
      <c r="L3" s="28">
        <v>286.4</v>
      </c>
      <c r="M3" s="25">
        <v>5.68</v>
      </c>
      <c r="N3" s="29">
        <v>90.4</v>
      </c>
      <c r="O3" s="29">
        <v>98.5</v>
      </c>
    </row>
    <row r="4" ht="16.5" spans="1:15">
      <c r="A4" s="23" t="s">
        <v>692</v>
      </c>
      <c r="B4" s="14">
        <v>193.2</v>
      </c>
      <c r="C4" s="15">
        <v>278.6</v>
      </c>
      <c r="D4" s="16">
        <v>4.89</v>
      </c>
      <c r="E4" s="17">
        <v>79.1</v>
      </c>
      <c r="F4" s="17">
        <v>91.6</v>
      </c>
      <c r="J4" s="30" t="s">
        <v>693</v>
      </c>
      <c r="K4" s="24">
        <v>207</v>
      </c>
      <c r="L4" s="28">
        <v>274.8</v>
      </c>
      <c r="M4" s="25">
        <v>4.94</v>
      </c>
      <c r="N4" s="29">
        <v>88.2</v>
      </c>
      <c r="O4" s="29">
        <v>97</v>
      </c>
    </row>
    <row r="5" ht="16.5" spans="1:15">
      <c r="A5" s="23" t="s">
        <v>694</v>
      </c>
      <c r="B5" s="14">
        <v>496</v>
      </c>
      <c r="C5" s="15">
        <v>273.8</v>
      </c>
      <c r="D5" s="16">
        <v>4.97</v>
      </c>
      <c r="E5" s="17">
        <v>88.7</v>
      </c>
      <c r="F5" s="17">
        <v>96.9</v>
      </c>
      <c r="J5" s="30" t="s">
        <v>695</v>
      </c>
      <c r="K5" s="24">
        <v>518.2</v>
      </c>
      <c r="L5" s="28">
        <v>281</v>
      </c>
      <c r="M5" s="25">
        <v>4.86</v>
      </c>
      <c r="N5" s="29">
        <v>87.8</v>
      </c>
      <c r="O5" s="29">
        <v>96.8</v>
      </c>
    </row>
    <row r="6" ht="16.5" spans="1:15">
      <c r="A6" s="23" t="s">
        <v>696</v>
      </c>
      <c r="B6" s="14">
        <v>492.4</v>
      </c>
      <c r="C6" s="15">
        <v>272.5</v>
      </c>
      <c r="D6" s="16">
        <v>4.97</v>
      </c>
      <c r="E6" s="17">
        <v>89.7</v>
      </c>
      <c r="F6" s="17">
        <v>97.5</v>
      </c>
      <c r="J6" s="30" t="s">
        <v>697</v>
      </c>
      <c r="K6" s="24">
        <v>387.2</v>
      </c>
      <c r="L6" s="28">
        <v>253.9</v>
      </c>
      <c r="M6" s="25">
        <v>5.33</v>
      </c>
      <c r="N6" s="29">
        <v>83.5</v>
      </c>
      <c r="O6" s="29">
        <v>94.7</v>
      </c>
    </row>
    <row r="7" ht="16.5" spans="1:15">
      <c r="A7" s="23" t="s">
        <v>698</v>
      </c>
      <c r="B7" s="14">
        <v>241.6</v>
      </c>
      <c r="C7" s="15">
        <v>278.9</v>
      </c>
      <c r="D7" s="16">
        <v>5.13</v>
      </c>
      <c r="E7" s="17">
        <v>85.1</v>
      </c>
      <c r="F7" s="17">
        <v>95.8</v>
      </c>
      <c r="J7" s="30" t="s">
        <v>699</v>
      </c>
      <c r="K7" s="24">
        <v>531.2</v>
      </c>
      <c r="L7" s="28">
        <v>257.4</v>
      </c>
      <c r="M7" s="25">
        <v>6</v>
      </c>
      <c r="N7" s="29">
        <v>85.9</v>
      </c>
      <c r="O7" s="29">
        <v>96.4</v>
      </c>
    </row>
    <row r="8" ht="16.5" spans="1:15">
      <c r="A8" s="23" t="s">
        <v>700</v>
      </c>
      <c r="B8" s="14">
        <v>519.2</v>
      </c>
      <c r="C8" s="15">
        <v>275.4</v>
      </c>
      <c r="D8" s="16">
        <v>4.97</v>
      </c>
      <c r="E8" s="17">
        <v>89</v>
      </c>
      <c r="F8" s="17">
        <v>97.1</v>
      </c>
      <c r="J8" s="30" t="s">
        <v>701</v>
      </c>
      <c r="K8" s="24">
        <v>223.4</v>
      </c>
      <c r="L8" s="28">
        <v>207.1</v>
      </c>
      <c r="M8" s="25">
        <v>4.97</v>
      </c>
      <c r="N8" s="29">
        <v>27.2</v>
      </c>
      <c r="O8" s="29">
        <v>61.5</v>
      </c>
    </row>
    <row r="9" ht="16.5" spans="1:15">
      <c r="A9" s="23" t="s">
        <v>702</v>
      </c>
      <c r="B9" s="14">
        <v>420.4</v>
      </c>
      <c r="C9" s="15">
        <v>277.3</v>
      </c>
      <c r="D9" s="16">
        <v>4.94</v>
      </c>
      <c r="E9" s="17">
        <v>89.1</v>
      </c>
      <c r="F9" s="17">
        <v>97.1</v>
      </c>
      <c r="J9" s="30" t="s">
        <v>703</v>
      </c>
      <c r="K9" s="24">
        <v>235.6</v>
      </c>
      <c r="L9" s="28">
        <v>277.7</v>
      </c>
      <c r="M9" s="25">
        <v>4.66</v>
      </c>
      <c r="N9" s="29">
        <v>89.3</v>
      </c>
      <c r="O9" s="29">
        <v>97.4</v>
      </c>
    </row>
    <row r="10" ht="16.5" spans="1:15">
      <c r="A10" s="23" t="s">
        <v>704</v>
      </c>
      <c r="B10" s="14">
        <v>512.4</v>
      </c>
      <c r="C10" s="15">
        <v>190.7</v>
      </c>
      <c r="D10" s="16">
        <v>4.86</v>
      </c>
      <c r="E10" s="17">
        <v>67.3</v>
      </c>
      <c r="F10" s="17">
        <v>89.2</v>
      </c>
      <c r="J10" s="30" t="s">
        <v>705</v>
      </c>
      <c r="K10" s="24">
        <v>389</v>
      </c>
      <c r="L10" s="28">
        <v>284.5</v>
      </c>
      <c r="M10" s="25">
        <v>5.02</v>
      </c>
      <c r="N10" s="29">
        <v>88</v>
      </c>
      <c r="O10" s="29">
        <v>97.2</v>
      </c>
    </row>
    <row r="11" ht="16.5" spans="1:15">
      <c r="A11" s="23" t="s">
        <v>706</v>
      </c>
      <c r="B11" s="14">
        <v>336.6</v>
      </c>
      <c r="C11" s="15">
        <v>248.2</v>
      </c>
      <c r="D11" s="16">
        <v>4.94</v>
      </c>
      <c r="E11" s="17">
        <v>84.4</v>
      </c>
      <c r="F11" s="17">
        <v>95.7</v>
      </c>
      <c r="J11" s="30" t="s">
        <v>707</v>
      </c>
      <c r="K11" s="24">
        <v>513.4</v>
      </c>
      <c r="L11" s="28">
        <v>281</v>
      </c>
      <c r="M11" s="25">
        <v>4.91</v>
      </c>
      <c r="N11" s="29">
        <v>89.9</v>
      </c>
      <c r="O11" s="29">
        <v>98.2</v>
      </c>
    </row>
    <row r="12" ht="16.5" spans="1:15">
      <c r="A12" s="23" t="s">
        <v>708</v>
      </c>
      <c r="B12" s="14">
        <v>440</v>
      </c>
      <c r="C12" s="15">
        <v>246.5</v>
      </c>
      <c r="D12" s="16">
        <v>5.02</v>
      </c>
      <c r="E12" s="17">
        <v>84.6</v>
      </c>
      <c r="F12" s="17">
        <v>96</v>
      </c>
      <c r="J12" s="30" t="s">
        <v>709</v>
      </c>
      <c r="K12" s="24">
        <v>467.8</v>
      </c>
      <c r="L12" s="28">
        <v>280.7</v>
      </c>
      <c r="M12" s="25">
        <v>4.06</v>
      </c>
      <c r="N12" s="29">
        <v>89.8</v>
      </c>
      <c r="O12" s="29">
        <v>98.1</v>
      </c>
    </row>
    <row r="13" ht="16.5" spans="1:15">
      <c r="A13" s="23" t="s">
        <v>710</v>
      </c>
      <c r="B13" s="14">
        <v>531.6</v>
      </c>
      <c r="C13" s="15">
        <v>259.4</v>
      </c>
      <c r="D13" s="16">
        <v>5.38</v>
      </c>
      <c r="E13" s="17">
        <v>87.5</v>
      </c>
      <c r="F13" s="17">
        <v>97.2</v>
      </c>
      <c r="J13" s="30" t="s">
        <v>711</v>
      </c>
      <c r="K13" s="24">
        <v>489.4</v>
      </c>
      <c r="L13" s="28">
        <v>180.5</v>
      </c>
      <c r="M13" s="25">
        <v>4.2</v>
      </c>
      <c r="N13" s="29">
        <v>83.6</v>
      </c>
      <c r="O13" s="29">
        <v>97.3</v>
      </c>
    </row>
    <row r="14" ht="16.5" spans="1:15">
      <c r="A14" s="23" t="s">
        <v>712</v>
      </c>
      <c r="B14" s="14">
        <v>160</v>
      </c>
      <c r="C14" s="15">
        <v>140.3</v>
      </c>
      <c r="D14" s="16">
        <v>3.09</v>
      </c>
      <c r="E14" s="17">
        <v>70.9</v>
      </c>
      <c r="F14" s="17">
        <v>90.9</v>
      </c>
      <c r="J14" s="30" t="s">
        <v>713</v>
      </c>
      <c r="K14" s="24">
        <v>361.6</v>
      </c>
      <c r="L14" s="28">
        <v>209.8</v>
      </c>
      <c r="M14" s="25">
        <v>4.72</v>
      </c>
      <c r="N14" s="29">
        <v>86.4</v>
      </c>
      <c r="O14" s="29">
        <v>98</v>
      </c>
    </row>
    <row r="15" ht="16.5" spans="1:15">
      <c r="A15" s="23" t="s">
        <v>714</v>
      </c>
      <c r="B15" s="14">
        <v>206.6</v>
      </c>
      <c r="C15" s="15">
        <v>289.2</v>
      </c>
      <c r="D15" s="16">
        <v>5.24</v>
      </c>
      <c r="E15" s="17">
        <v>91.1</v>
      </c>
      <c r="F15" s="17">
        <v>98.5</v>
      </c>
      <c r="J15" s="30" t="s">
        <v>715</v>
      </c>
      <c r="K15" s="24">
        <v>216</v>
      </c>
      <c r="L15" s="28">
        <v>204</v>
      </c>
      <c r="M15" s="25">
        <v>4.57</v>
      </c>
      <c r="N15" s="29">
        <v>83.1</v>
      </c>
      <c r="O15" s="29">
        <v>97.1</v>
      </c>
    </row>
    <row r="16" ht="16.5" spans="1:15">
      <c r="G16" s="14">
        <v>25010424</v>
      </c>
    </row>
    <row r="17" ht="16.5" spans="1:7">
      <c r="A17" s="23"/>
      <c r="B17" s="14"/>
      <c r="C17" s="15"/>
      <c r="D17" s="16"/>
      <c r="E17" s="17"/>
      <c r="F17" s="17"/>
      <c r="G17" s="14"/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L6 B17:C17 K3:L5 B3:C15 K7:L15"/>
  </dataValidations>
  <pageMargins left="0.75" right="0.75" top="1" bottom="1" header="0.5" footer="0.5"/>
  <pageSetup paperSize="9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J1" sqref="J$1:W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319</v>
      </c>
      <c r="B1" s="2">
        <f>SUM(B3:B23)</f>
        <v>5001.4</v>
      </c>
      <c r="C1" s="3" cm="1">
        <f t="array" ref="C1">SUMPRODUCT(C3:C23*B3:B23)/B1</f>
        <v>177.734558323669</v>
      </c>
      <c r="D1" s="4" cm="1">
        <f t="array" ref="D1">SUMPRODUCT(B3:B23*D3:D23)/B1</f>
        <v>3.94563482224977</v>
      </c>
      <c r="E1" s="3" cm="1">
        <f t="array" ref="E1">SUMPRODUCT(B3:B23*E3:E23)/B1</f>
        <v>79.2279881633143</v>
      </c>
      <c r="F1" s="3" cm="1">
        <f t="array" ref="F1">SUMPRODUCT(B3:B23*F3:F23)/B1</f>
        <v>95.1891150477866</v>
      </c>
      <c r="G1" s="3" cm="1">
        <f t="array" ref="G1">SUMPRODUCT(B3:B23*G3:G23)/B1</f>
        <v>10.8892626064702</v>
      </c>
    </row>
    <row r="2" ht="16.5" spans="1: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716</v>
      </c>
      <c r="B3" s="9">
        <v>487.4</v>
      </c>
      <c r="C3" s="10">
        <v>254.2</v>
      </c>
      <c r="D3" s="11">
        <v>4.15</v>
      </c>
      <c r="E3" s="12">
        <v>89.5</v>
      </c>
      <c r="F3" s="12">
        <v>98.2</v>
      </c>
      <c r="G3" s="11">
        <v>10.78</v>
      </c>
      <c r="H3" s="34">
        <v>25030209</v>
      </c>
    </row>
    <row r="4" ht="16.5" spans="1:8">
      <c r="A4" s="39" t="s">
        <v>717</v>
      </c>
      <c r="B4" s="9">
        <v>408.6</v>
      </c>
      <c r="C4" s="10">
        <v>220.8</v>
      </c>
      <c r="D4" s="11">
        <v>4.49</v>
      </c>
      <c r="E4" s="12">
        <v>86.5</v>
      </c>
      <c r="F4" s="12">
        <v>97.6</v>
      </c>
      <c r="G4" s="11">
        <v>10.2</v>
      </c>
      <c r="H4" s="34">
        <v>25030213</v>
      </c>
    </row>
    <row r="5" ht="16.5" spans="1:8">
      <c r="A5" s="39" t="s">
        <v>718</v>
      </c>
      <c r="B5" s="9">
        <v>717.4</v>
      </c>
      <c r="C5" s="10">
        <v>186.2</v>
      </c>
      <c r="D5" s="11">
        <v>4.66</v>
      </c>
      <c r="E5" s="12">
        <v>78.9</v>
      </c>
      <c r="F5" s="12">
        <v>96.2</v>
      </c>
      <c r="G5" s="11">
        <v>10.3</v>
      </c>
      <c r="H5" s="34">
        <v>25030215</v>
      </c>
    </row>
    <row r="6" ht="16.5" spans="1:8">
      <c r="A6" s="39" t="s">
        <v>719</v>
      </c>
      <c r="B6" s="9">
        <v>788.4</v>
      </c>
      <c r="C6" s="10">
        <v>109.9</v>
      </c>
      <c r="D6" s="11">
        <v>2.93</v>
      </c>
      <c r="E6" s="12">
        <v>78.3</v>
      </c>
      <c r="F6" s="12">
        <v>96.5</v>
      </c>
      <c r="G6" s="11">
        <v>10.91</v>
      </c>
      <c r="H6" s="34">
        <v>25030217</v>
      </c>
    </row>
    <row r="7" ht="16.5" spans="1:8">
      <c r="A7" s="39" t="s">
        <v>720</v>
      </c>
      <c r="B7" s="9">
        <v>346</v>
      </c>
      <c r="C7" s="10">
        <v>167.8</v>
      </c>
      <c r="D7" s="11">
        <v>4.17</v>
      </c>
      <c r="E7" s="12">
        <v>82.6</v>
      </c>
      <c r="F7" s="12">
        <v>96.6</v>
      </c>
      <c r="G7" s="11">
        <v>11.9</v>
      </c>
      <c r="H7" s="34">
        <v>25030188</v>
      </c>
    </row>
    <row r="8" ht="16.5" spans="1:8">
      <c r="A8" s="39" t="s">
        <v>721</v>
      </c>
      <c r="B8" s="9">
        <v>504.4</v>
      </c>
      <c r="C8" s="10">
        <v>116.2</v>
      </c>
      <c r="D8" s="11">
        <v>2.74</v>
      </c>
      <c r="E8" s="12">
        <v>67</v>
      </c>
      <c r="F8" s="12">
        <v>89.5</v>
      </c>
      <c r="G8" s="11">
        <v>11.64</v>
      </c>
      <c r="H8" s="34">
        <v>25020286</v>
      </c>
    </row>
    <row r="9" ht="16.5" spans="1:8">
      <c r="A9" s="39" t="s">
        <v>722</v>
      </c>
      <c r="B9" s="9">
        <v>414.2</v>
      </c>
      <c r="C9" s="10">
        <v>140.7</v>
      </c>
      <c r="D9" s="11">
        <v>3.4</v>
      </c>
      <c r="E9" s="12">
        <v>60.8</v>
      </c>
      <c r="F9" s="12">
        <v>85</v>
      </c>
      <c r="G9" s="11">
        <v>12.12</v>
      </c>
      <c r="H9" s="34">
        <v>24120352</v>
      </c>
    </row>
    <row r="10" ht="16.5" spans="1:8">
      <c r="A10" s="39" t="s">
        <v>723</v>
      </c>
      <c r="B10" s="9">
        <v>222</v>
      </c>
      <c r="C10" s="10">
        <v>254.4</v>
      </c>
      <c r="D10" s="11">
        <v>4.11</v>
      </c>
      <c r="E10" s="12">
        <v>83.2</v>
      </c>
      <c r="F10" s="12">
        <v>95.7</v>
      </c>
      <c r="G10" s="36">
        <v>10.26</v>
      </c>
      <c r="H10" s="34">
        <v>25030191</v>
      </c>
    </row>
    <row r="11" ht="16.5" spans="1:8">
      <c r="A11" s="39" t="s">
        <v>724</v>
      </c>
      <c r="B11" s="9">
        <v>677.6</v>
      </c>
      <c r="C11" s="10">
        <v>213.8</v>
      </c>
      <c r="D11" s="11">
        <v>4.57</v>
      </c>
      <c r="E11" s="12">
        <v>86.5</v>
      </c>
      <c r="F11" s="12">
        <v>97.9</v>
      </c>
      <c r="G11" s="36">
        <v>10.85</v>
      </c>
      <c r="H11" s="34">
        <v>25030185</v>
      </c>
    </row>
    <row r="12" ht="16.5" spans="1:8">
      <c r="A12" s="39" t="s">
        <v>725</v>
      </c>
      <c r="B12" s="9">
        <v>435.4</v>
      </c>
      <c r="C12" s="10">
        <v>179.8</v>
      </c>
      <c r="D12" s="11">
        <v>4.55</v>
      </c>
      <c r="E12" s="12">
        <v>78.8</v>
      </c>
      <c r="F12" s="12">
        <v>96.2</v>
      </c>
      <c r="G12" s="11">
        <v>10.13</v>
      </c>
      <c r="H12" s="9">
        <v>25030216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C8 B3:C7 B9:C12"/>
  </dataValidations>
  <pageMargins left="0.75" right="0.75" top="1" bottom="1" header="0.5" footer="0.5"/>
  <pageSetup paperSize="9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O22" sqref="O22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</cols>
  <sheetData>
    <row r="1" ht="16.5" spans="1:16">
      <c r="A1" s="116">
        <v>322</v>
      </c>
      <c r="B1" s="2">
        <f>SUM(B3:B23)</f>
        <v>5019.2</v>
      </c>
      <c r="C1" s="3" cm="1">
        <f t="array" ref="C1">SUMPRODUCT(C3:C23*B3:B23)/B1</f>
        <v>218.624557698438</v>
      </c>
      <c r="D1" s="4" cm="1">
        <f t="array" ref="D1">SUMPRODUCT(B3:B23*D3:D23)/B1</f>
        <v>4.86532236212942</v>
      </c>
      <c r="E1" s="3" cm="1">
        <f t="array" ref="E1">SUMPRODUCT(B3:B23*E3:E23)/B1</f>
        <v>83.2902773350335</v>
      </c>
      <c r="F1" s="3" cm="1">
        <f t="array" ref="F1">SUMPRODUCT(B3:B23*F3:F23)/B1</f>
        <v>96.4636475932419</v>
      </c>
      <c r="J1" s="116">
        <v>323</v>
      </c>
      <c r="K1" s="2">
        <f>SUM(K3:K23)</f>
        <v>5119.8</v>
      </c>
      <c r="L1" s="3" cm="1">
        <f t="array" ref="L1">SUMPRODUCT(L3:L23*K3:K23)/K1</f>
        <v>217.768576897535</v>
      </c>
      <c r="M1" s="4" cm="1">
        <f t="array" ref="M1">SUMPRODUCT(K3:K23*M3:M23)/K1</f>
        <v>4.87407554982617</v>
      </c>
      <c r="N1" s="3" cm="1">
        <f t="array" ref="N1">SUMPRODUCT(K3:K23*N3:N23)/K1</f>
        <v>82.518563225126</v>
      </c>
      <c r="O1" s="3" cm="1">
        <f t="array" ref="O1">SUMPRODUCT(K3:K23*O3:O23)/K1</f>
        <v>95.2119848431579</v>
      </c>
    </row>
    <row r="2" ht="16.5" spans="1:16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>
        <v>200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39" t="s">
        <v>726</v>
      </c>
      <c r="B3" s="9">
        <v>524.6</v>
      </c>
      <c r="C3" s="10">
        <v>190.8</v>
      </c>
      <c r="D3" s="11">
        <v>4.94</v>
      </c>
      <c r="E3" s="12">
        <v>77.3</v>
      </c>
      <c r="F3" s="12">
        <v>94.8</v>
      </c>
      <c r="G3" s="34">
        <v>25030248</v>
      </c>
      <c r="J3" s="39" t="s">
        <v>727</v>
      </c>
      <c r="K3" s="9">
        <v>571.6</v>
      </c>
      <c r="L3" s="10">
        <v>244.9</v>
      </c>
      <c r="M3" s="11">
        <v>4.15</v>
      </c>
      <c r="N3" s="12">
        <v>89.3</v>
      </c>
      <c r="O3" s="12">
        <v>98</v>
      </c>
      <c r="P3" s="34">
        <v>25030210</v>
      </c>
    </row>
    <row r="4" ht="16.5" spans="1:16">
      <c r="A4" s="39" t="s">
        <v>728</v>
      </c>
      <c r="B4" s="9">
        <v>488.2</v>
      </c>
      <c r="C4" s="10">
        <v>190.2</v>
      </c>
      <c r="D4" s="11">
        <v>4.97</v>
      </c>
      <c r="E4" s="12">
        <v>77.5</v>
      </c>
      <c r="F4" s="12">
        <v>95</v>
      </c>
      <c r="G4" s="34">
        <v>25030249</v>
      </c>
      <c r="J4" s="39" t="s">
        <v>729</v>
      </c>
      <c r="K4" s="9">
        <v>498.2</v>
      </c>
      <c r="L4" s="10">
        <v>218.6</v>
      </c>
      <c r="M4" s="11">
        <v>4.46</v>
      </c>
      <c r="N4" s="12">
        <v>87</v>
      </c>
      <c r="O4" s="12">
        <v>97.8</v>
      </c>
      <c r="P4" s="34">
        <v>25030211</v>
      </c>
    </row>
    <row r="5" ht="16.5" spans="1:16">
      <c r="A5" s="39" t="s">
        <v>730</v>
      </c>
      <c r="B5" s="9">
        <v>525.4</v>
      </c>
      <c r="C5" s="10">
        <v>189</v>
      </c>
      <c r="D5" s="11">
        <v>4.82</v>
      </c>
      <c r="E5" s="12">
        <v>73.2</v>
      </c>
      <c r="F5" s="12">
        <v>92.7</v>
      </c>
      <c r="G5" s="34">
        <v>25030267</v>
      </c>
      <c r="J5" s="39" t="s">
        <v>731</v>
      </c>
      <c r="K5" s="9">
        <v>534.2</v>
      </c>
      <c r="L5" s="10">
        <v>220.8</v>
      </c>
      <c r="M5" s="11">
        <v>4.49</v>
      </c>
      <c r="N5" s="12">
        <v>87.1</v>
      </c>
      <c r="O5" s="12">
        <v>97.9</v>
      </c>
      <c r="P5" s="34">
        <v>25030212</v>
      </c>
    </row>
    <row r="6" ht="16.5" spans="1:16">
      <c r="A6" s="39" t="s">
        <v>732</v>
      </c>
      <c r="B6" s="9">
        <v>769.4</v>
      </c>
      <c r="C6" s="10">
        <v>236.9</v>
      </c>
      <c r="D6" s="11">
        <v>4.77</v>
      </c>
      <c r="E6" s="12">
        <v>83.2</v>
      </c>
      <c r="F6" s="12">
        <v>96.5</v>
      </c>
      <c r="G6" s="34">
        <v>25030245</v>
      </c>
      <c r="J6" s="39" t="s">
        <v>733</v>
      </c>
      <c r="K6" s="9">
        <v>540.6</v>
      </c>
      <c r="L6" s="10">
        <v>238.1</v>
      </c>
      <c r="M6" s="11">
        <v>5.33</v>
      </c>
      <c r="N6" s="12">
        <v>81.3</v>
      </c>
      <c r="O6" s="12">
        <v>93.7</v>
      </c>
      <c r="P6" s="34">
        <v>25030132</v>
      </c>
    </row>
    <row r="7" ht="16.5" spans="1:16">
      <c r="A7" s="39" t="s">
        <v>734</v>
      </c>
      <c r="B7" s="9">
        <v>521</v>
      </c>
      <c r="C7" s="10">
        <v>245.3</v>
      </c>
      <c r="D7" s="11">
        <v>5.11</v>
      </c>
      <c r="E7" s="12">
        <v>90.1</v>
      </c>
      <c r="F7" s="12">
        <v>98.2</v>
      </c>
      <c r="G7" s="34">
        <v>25030147</v>
      </c>
      <c r="J7" s="39" t="s">
        <v>735</v>
      </c>
      <c r="K7" s="9">
        <v>489</v>
      </c>
      <c r="L7" s="10">
        <v>231.1</v>
      </c>
      <c r="M7" s="11">
        <v>5.27</v>
      </c>
      <c r="N7" s="12">
        <v>81.4</v>
      </c>
      <c r="O7" s="12">
        <v>93.9</v>
      </c>
      <c r="P7" s="34">
        <v>25030133</v>
      </c>
    </row>
    <row r="8" ht="16.5" spans="1:16">
      <c r="A8" s="39" t="s">
        <v>736</v>
      </c>
      <c r="B8" s="9">
        <v>498.8</v>
      </c>
      <c r="C8" s="10">
        <v>196.3</v>
      </c>
      <c r="D8" s="11">
        <v>5.13</v>
      </c>
      <c r="E8" s="12">
        <v>83.3</v>
      </c>
      <c r="F8" s="12">
        <v>96.2</v>
      </c>
      <c r="G8" s="34">
        <v>25030086</v>
      </c>
      <c r="J8" s="39" t="s">
        <v>737</v>
      </c>
      <c r="K8" s="9">
        <v>515</v>
      </c>
      <c r="L8" s="10">
        <v>207.4</v>
      </c>
      <c r="M8" s="11">
        <v>5.13</v>
      </c>
      <c r="N8" s="12">
        <v>78</v>
      </c>
      <c r="O8" s="12">
        <v>92.2</v>
      </c>
      <c r="P8" s="34">
        <v>25030134</v>
      </c>
    </row>
    <row r="9" ht="16.5" spans="1:16">
      <c r="A9" s="39" t="s">
        <v>738</v>
      </c>
      <c r="B9" s="9">
        <v>746.4</v>
      </c>
      <c r="C9" s="10">
        <v>216.5</v>
      </c>
      <c r="D9" s="11">
        <v>4.55</v>
      </c>
      <c r="E9" s="12">
        <v>87.5</v>
      </c>
      <c r="F9" s="12">
        <v>98.4</v>
      </c>
      <c r="G9" s="34">
        <v>25030184</v>
      </c>
      <c r="J9" s="39" t="s">
        <v>739</v>
      </c>
      <c r="K9" s="9">
        <v>498.8</v>
      </c>
      <c r="L9" s="10">
        <v>186.1</v>
      </c>
      <c r="M9" s="11">
        <v>4.89</v>
      </c>
      <c r="N9" s="12">
        <v>73.4</v>
      </c>
      <c r="O9" s="12">
        <v>91.9</v>
      </c>
      <c r="P9" s="34">
        <v>25030115</v>
      </c>
    </row>
    <row r="10" ht="16.5" spans="1:16">
      <c r="A10" s="39" t="s">
        <v>740</v>
      </c>
      <c r="B10" s="9">
        <v>372.8</v>
      </c>
      <c r="C10" s="10">
        <v>228.3</v>
      </c>
      <c r="D10" s="11">
        <v>5.84</v>
      </c>
      <c r="E10" s="12">
        <v>85.9</v>
      </c>
      <c r="F10" s="12">
        <v>97</v>
      </c>
      <c r="G10" s="34">
        <v>25030052</v>
      </c>
      <c r="J10" s="39" t="s">
        <v>741</v>
      </c>
      <c r="K10" s="9">
        <v>488.6</v>
      </c>
      <c r="L10" s="10">
        <v>176.6</v>
      </c>
      <c r="M10" s="11">
        <v>4.77</v>
      </c>
      <c r="N10" s="12">
        <v>71.2</v>
      </c>
      <c r="O10" s="12">
        <v>91.1</v>
      </c>
      <c r="P10" s="34">
        <v>25030116</v>
      </c>
    </row>
    <row r="11" ht="16.5" spans="1:16">
      <c r="A11" s="39" t="s">
        <v>742</v>
      </c>
      <c r="B11" s="9">
        <v>247</v>
      </c>
      <c r="C11" s="10">
        <v>247.1</v>
      </c>
      <c r="D11" s="11">
        <v>4.32</v>
      </c>
      <c r="E11" s="12">
        <v>90.5</v>
      </c>
      <c r="F11" s="12">
        <v>98.9</v>
      </c>
      <c r="G11" s="34">
        <v>25030195</v>
      </c>
      <c r="J11" s="39" t="s">
        <v>743</v>
      </c>
      <c r="K11" s="9">
        <v>489.4</v>
      </c>
      <c r="L11" s="10">
        <v>220.2</v>
      </c>
      <c r="M11" s="11">
        <v>5.11</v>
      </c>
      <c r="N11" s="12">
        <v>86.3</v>
      </c>
      <c r="O11" s="12">
        <v>97</v>
      </c>
      <c r="P11" s="34">
        <v>25020158</v>
      </c>
    </row>
    <row r="12" ht="16.5" spans="1:16">
      <c r="A12" s="39" t="s">
        <v>744</v>
      </c>
      <c r="B12" s="9">
        <v>163.6</v>
      </c>
      <c r="C12" s="10">
        <v>274.2</v>
      </c>
      <c r="D12" s="11">
        <v>4.11</v>
      </c>
      <c r="E12" s="12">
        <v>89.1</v>
      </c>
      <c r="F12" s="12">
        <v>98.1</v>
      </c>
      <c r="G12" s="34">
        <v>25030239</v>
      </c>
      <c r="J12" s="39" t="s">
        <v>745</v>
      </c>
      <c r="K12" s="9">
        <v>494.4</v>
      </c>
      <c r="L12" s="10">
        <v>227.9</v>
      </c>
      <c r="M12" s="11">
        <v>5.24</v>
      </c>
      <c r="N12" s="12">
        <v>89</v>
      </c>
      <c r="O12" s="12">
        <v>98.2</v>
      </c>
      <c r="P12" s="34">
        <v>25020186</v>
      </c>
    </row>
    <row r="13" ht="16.5" spans="1:16">
      <c r="A13" s="39" t="s">
        <v>746</v>
      </c>
      <c r="B13" s="9">
        <v>162</v>
      </c>
      <c r="C13" s="10">
        <v>274.6</v>
      </c>
      <c r="D13" s="11">
        <v>4.11</v>
      </c>
      <c r="E13" s="12">
        <v>89.1</v>
      </c>
      <c r="F13" s="12">
        <v>98</v>
      </c>
      <c r="G13" s="34">
        <v>25030240</v>
      </c>
    </row>
    <row r="27" ht="16.5" spans="1:12">
      <c r="A27" s="116">
        <v>324</v>
      </c>
      <c r="B27" s="2">
        <f>SUM(B29:B49)</f>
        <v>4979.2</v>
      </c>
      <c r="C27" s="3" cm="1">
        <f t="array" ref="C27">SUMPRODUCT(C29:C49*B29:B49)/B27</f>
        <v>216.069452924165</v>
      </c>
      <c r="D27" s="4" cm="1">
        <f t="array" ref="D27">SUMPRODUCT(B29:B49*D29:D49)/B27</f>
        <v>4.86853430269923</v>
      </c>
      <c r="E27" s="3" cm="1">
        <f t="array" ref="E27">SUMPRODUCT(B29:B49*E29:E49)/B27</f>
        <v>81.9641709511568</v>
      </c>
      <c r="F27" s="3" cm="1">
        <f t="array" ref="F27">SUMPRODUCT(B29:B49*F29:F49)/B27</f>
        <v>95.6302618894601</v>
      </c>
      <c r="J27" s="39" t="s">
        <v>747</v>
      </c>
      <c r="K27" s="9">
        <v>503.6</v>
      </c>
      <c r="L27" s="34">
        <v>25030268</v>
      </c>
    </row>
    <row r="28" ht="16.5" spans="1:12">
      <c r="A28" s="6">
        <v>200</v>
      </c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J28" s="39" t="s">
        <v>748</v>
      </c>
      <c r="K28" s="9">
        <v>491.8</v>
      </c>
      <c r="L28" s="34">
        <v>25030198</v>
      </c>
    </row>
    <row r="29" ht="16.5" spans="1:12">
      <c r="A29" s="39" t="s">
        <v>747</v>
      </c>
      <c r="B29" s="9">
        <v>503.6</v>
      </c>
      <c r="C29" s="10">
        <v>159.2</v>
      </c>
      <c r="D29" s="11">
        <v>4.2</v>
      </c>
      <c r="E29" s="12">
        <v>71</v>
      </c>
      <c r="F29" s="12">
        <v>92.2</v>
      </c>
      <c r="G29" s="34">
        <v>25030268</v>
      </c>
      <c r="J29" s="39" t="s">
        <v>749</v>
      </c>
      <c r="K29" s="9">
        <v>514.4</v>
      </c>
      <c r="L29" s="34">
        <v>25030187</v>
      </c>
    </row>
    <row r="30" ht="16.5" spans="1:12">
      <c r="A30" s="39" t="s">
        <v>748</v>
      </c>
      <c r="B30" s="9">
        <v>491.8</v>
      </c>
      <c r="C30" s="10">
        <v>214.1</v>
      </c>
      <c r="D30" s="11">
        <v>4.72</v>
      </c>
      <c r="E30" s="12">
        <v>86.6</v>
      </c>
      <c r="F30" s="12">
        <v>98.2</v>
      </c>
      <c r="G30" s="34">
        <v>25030198</v>
      </c>
      <c r="J30" s="39" t="s">
        <v>750</v>
      </c>
      <c r="K30" s="9">
        <v>508.8</v>
      </c>
      <c r="L30" s="34">
        <v>25030285</v>
      </c>
    </row>
    <row r="31" ht="16.5" spans="1:12">
      <c r="A31" s="39" t="s">
        <v>749</v>
      </c>
      <c r="B31" s="9">
        <v>514.4</v>
      </c>
      <c r="C31" s="10">
        <v>166.7</v>
      </c>
      <c r="D31" s="11">
        <v>4.15</v>
      </c>
      <c r="E31" s="12">
        <v>83.2</v>
      </c>
      <c r="F31" s="12">
        <v>97</v>
      </c>
      <c r="G31" s="34">
        <v>25030187</v>
      </c>
      <c r="J31" s="39" t="s">
        <v>751</v>
      </c>
      <c r="K31" s="9">
        <v>331.6</v>
      </c>
      <c r="L31" s="34">
        <v>25030208</v>
      </c>
    </row>
    <row r="32" ht="16.5" spans="1:12">
      <c r="A32" s="39" t="s">
        <v>750</v>
      </c>
      <c r="B32" s="9">
        <v>508.8</v>
      </c>
      <c r="C32" s="10">
        <v>219.5</v>
      </c>
      <c r="D32" s="11">
        <v>6.09</v>
      </c>
      <c r="E32" s="12">
        <v>70.2</v>
      </c>
      <c r="F32" s="12">
        <v>90.5</v>
      </c>
      <c r="G32" s="34">
        <v>25030285</v>
      </c>
      <c r="J32" s="39" t="s">
        <v>752</v>
      </c>
      <c r="K32" s="9">
        <v>505</v>
      </c>
      <c r="L32" s="34">
        <v>25030065</v>
      </c>
    </row>
    <row r="33" ht="16.5" spans="1:12">
      <c r="A33" s="39" t="s">
        <v>751</v>
      </c>
      <c r="B33" s="9">
        <v>331.6</v>
      </c>
      <c r="C33" s="10">
        <v>271.8</v>
      </c>
      <c r="D33" s="11">
        <v>3.91</v>
      </c>
      <c r="E33" s="12">
        <v>89.5</v>
      </c>
      <c r="F33" s="12">
        <v>98.1</v>
      </c>
      <c r="G33" s="34">
        <v>25030208</v>
      </c>
      <c r="J33" s="39" t="s">
        <v>753</v>
      </c>
      <c r="K33" s="9">
        <v>523.8</v>
      </c>
      <c r="L33" s="34">
        <v>25030117</v>
      </c>
    </row>
    <row r="34" ht="16.5" spans="1:12">
      <c r="A34" s="39" t="s">
        <v>752</v>
      </c>
      <c r="B34" s="9">
        <v>505</v>
      </c>
      <c r="C34" s="10">
        <v>240</v>
      </c>
      <c r="D34" s="11">
        <v>5.05</v>
      </c>
      <c r="E34" s="12">
        <v>89.6</v>
      </c>
      <c r="F34" s="12">
        <v>98</v>
      </c>
      <c r="G34" s="34">
        <v>25030065</v>
      </c>
      <c r="J34" s="39" t="s">
        <v>754</v>
      </c>
      <c r="K34" s="9">
        <v>525</v>
      </c>
      <c r="L34" s="34">
        <v>25030146</v>
      </c>
    </row>
    <row r="35" ht="16.5" spans="1:12">
      <c r="A35" s="39" t="s">
        <v>753</v>
      </c>
      <c r="B35" s="9">
        <v>523.8</v>
      </c>
      <c r="C35" s="10">
        <v>176.1</v>
      </c>
      <c r="D35" s="11">
        <v>4.77</v>
      </c>
      <c r="E35" s="12">
        <v>71.4</v>
      </c>
      <c r="F35" s="12">
        <v>91.1</v>
      </c>
      <c r="G35" s="34">
        <v>25030117</v>
      </c>
      <c r="J35" s="39" t="s">
        <v>755</v>
      </c>
      <c r="K35" s="9">
        <v>336</v>
      </c>
      <c r="L35" s="34">
        <v>25030148</v>
      </c>
    </row>
    <row r="36" ht="16.5" spans="1:12">
      <c r="A36" s="39" t="s">
        <v>754</v>
      </c>
      <c r="B36" s="9">
        <v>525</v>
      </c>
      <c r="C36" s="10">
        <v>253</v>
      </c>
      <c r="D36" s="11">
        <v>5.08</v>
      </c>
      <c r="E36" s="12">
        <v>90.5</v>
      </c>
      <c r="F36" s="12">
        <v>98.4</v>
      </c>
      <c r="G36" s="34">
        <v>25030146</v>
      </c>
      <c r="J36" s="39" t="s">
        <v>756</v>
      </c>
      <c r="K36" s="9">
        <v>213</v>
      </c>
      <c r="L36" s="34">
        <v>25030264</v>
      </c>
    </row>
    <row r="37" ht="16.5" spans="1:12">
      <c r="A37" s="39" t="s">
        <v>755</v>
      </c>
      <c r="B37" s="9">
        <v>336</v>
      </c>
      <c r="C37" s="10">
        <v>247.8</v>
      </c>
      <c r="D37" s="11">
        <v>5.38</v>
      </c>
      <c r="E37" s="12">
        <v>87.4</v>
      </c>
      <c r="F37" s="12">
        <v>96.9</v>
      </c>
      <c r="G37" s="34">
        <v>25030148</v>
      </c>
      <c r="J37" s="39" t="s">
        <v>757</v>
      </c>
      <c r="K37" s="9">
        <v>526.2</v>
      </c>
      <c r="L37" s="34">
        <v>25030265</v>
      </c>
    </row>
    <row r="38" ht="16.5" spans="1:12">
      <c r="A38" s="39" t="s">
        <v>756</v>
      </c>
      <c r="B38" s="9">
        <v>213</v>
      </c>
      <c r="C38" s="10">
        <v>254.3</v>
      </c>
      <c r="D38" s="11">
        <v>4.94</v>
      </c>
      <c r="E38" s="12">
        <v>88</v>
      </c>
      <c r="F38" s="12">
        <v>97.7</v>
      </c>
      <c r="G38" s="34">
        <v>25030264</v>
      </c>
    </row>
    <row r="39" ht="16.5" spans="1:12">
      <c r="A39" s="39" t="s">
        <v>757</v>
      </c>
      <c r="B39" s="9">
        <v>526.2</v>
      </c>
      <c r="C39" s="10">
        <v>226.4</v>
      </c>
      <c r="D39" s="11">
        <v>5.13</v>
      </c>
      <c r="E39" s="12">
        <v>82.3</v>
      </c>
      <c r="F39" s="12">
        <v>96.4</v>
      </c>
      <c r="G39" s="34">
        <v>25030265</v>
      </c>
    </row>
  </sheetData>
  <conditionalFormatting sqref="A1:A2">
    <cfRule type="duplicateValues" dxfId="0" priority="4"/>
  </conditionalFormatting>
  <conditionalFormatting sqref="A27:A28">
    <cfRule type="duplicateValues" dxfId="0" priority="1"/>
  </conditionalFormatting>
  <conditionalFormatting sqref="J1:J2">
    <cfRule type="duplicateValues" dxfId="0" priority="3"/>
  </conditionalFormatting>
  <dataValidations count="1">
    <dataValidation allowBlank="1" showInputMessage="1" showErrorMessage="1" sqref="K27:K37 B29:C39 B3:C13 K3:L12"/>
  </dataValidations>
  <pageMargins left="0.75" right="0.75" top="1" bottom="1" header="0.5" footer="0.5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J1" sqref="J$1:M$1048576"/>
    </sheetView>
  </sheetViews>
  <sheetFormatPr defaultColWidth="9" defaultRowHeight="13.5" outlineLevelCol="6"/>
  <cols>
    <col min="1" max="1" width="15.625" customWidth="1"/>
  </cols>
  <sheetData>
    <row r="1" ht="16.5" spans="1:7">
      <c r="A1" s="116">
        <v>325</v>
      </c>
      <c r="B1" s="2">
        <f>SUM(B3:B23)</f>
        <v>5077.8</v>
      </c>
      <c r="C1" s="3" cm="1">
        <f t="array" ref="C1">SUMPRODUCT(C3:C23*B3:B23)/B1</f>
        <v>237.0283193509</v>
      </c>
      <c r="D1" s="4" cm="1">
        <f t="array" ref="D1">SUMPRODUCT(B3:B23*D3:D23)/B1</f>
        <v>4.97073378234669</v>
      </c>
      <c r="E1" s="3" cm="1">
        <f t="array" ref="E1">SUMPRODUCT(B3:B23*E3:E23)/B1</f>
        <v>79.2083264405845</v>
      </c>
      <c r="F1" s="3" cm="1">
        <f t="array" ref="F1">SUMPRODUCT(B3:B23*F3:F23)/B1</f>
        <v>93.3330142975304</v>
      </c>
    </row>
    <row r="2" ht="16.5" spans="1:7">
      <c r="A2" s="6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0" t="s">
        <v>758</v>
      </c>
      <c r="B3" s="24">
        <v>494</v>
      </c>
      <c r="C3" s="28">
        <v>287.1</v>
      </c>
      <c r="D3" s="25">
        <v>5.87</v>
      </c>
      <c r="E3" s="29">
        <v>85.5</v>
      </c>
      <c r="F3" s="29">
        <v>96.5</v>
      </c>
      <c r="G3" s="24">
        <v>24120099</v>
      </c>
    </row>
    <row r="4" ht="16.5" spans="1:7">
      <c r="A4" s="30" t="s">
        <v>759</v>
      </c>
      <c r="B4" s="24">
        <v>508.6</v>
      </c>
      <c r="C4" s="28">
        <v>298.5</v>
      </c>
      <c r="D4" s="25">
        <v>5.41</v>
      </c>
      <c r="E4" s="29">
        <v>90.5</v>
      </c>
      <c r="F4" s="29">
        <v>98.2</v>
      </c>
      <c r="G4" s="24">
        <v>24120154</v>
      </c>
    </row>
    <row r="5" ht="16.5" spans="1:7">
      <c r="A5" s="30" t="s">
        <v>760</v>
      </c>
      <c r="B5" s="24">
        <v>518.2</v>
      </c>
      <c r="C5" s="28">
        <v>273.4</v>
      </c>
      <c r="D5" s="25">
        <v>5.52</v>
      </c>
      <c r="E5" s="29">
        <v>88.6</v>
      </c>
      <c r="F5" s="29">
        <v>97.9</v>
      </c>
      <c r="G5" s="24">
        <v>25010016</v>
      </c>
    </row>
    <row r="6" ht="16.5" spans="1:7">
      <c r="A6" s="30" t="s">
        <v>761</v>
      </c>
      <c r="B6" s="24">
        <v>555</v>
      </c>
      <c r="C6" s="28">
        <v>279.2</v>
      </c>
      <c r="D6" s="25">
        <v>4.82</v>
      </c>
      <c r="E6" s="29">
        <v>87.9</v>
      </c>
      <c r="F6" s="29">
        <v>96.9</v>
      </c>
      <c r="G6" s="24">
        <v>25010118</v>
      </c>
    </row>
    <row r="7" ht="16.5" spans="1:7">
      <c r="A7" s="30" t="s">
        <v>762</v>
      </c>
      <c r="B7" s="24">
        <v>203</v>
      </c>
      <c r="C7" s="28">
        <v>278.4</v>
      </c>
      <c r="D7" s="25">
        <v>5.49</v>
      </c>
      <c r="E7" s="29">
        <v>89.8</v>
      </c>
      <c r="F7" s="29">
        <v>98.2</v>
      </c>
      <c r="G7" s="24">
        <v>25010232</v>
      </c>
    </row>
    <row r="8" ht="16.5" spans="1:7">
      <c r="A8" s="30" t="s">
        <v>763</v>
      </c>
      <c r="B8" s="24">
        <v>361.4</v>
      </c>
      <c r="C8" s="28">
        <v>221.4</v>
      </c>
      <c r="D8" s="25">
        <v>5.79</v>
      </c>
      <c r="E8" s="29">
        <v>49</v>
      </c>
      <c r="F8" s="29">
        <v>75.8</v>
      </c>
      <c r="G8" s="24">
        <v>25010248</v>
      </c>
    </row>
    <row r="9" ht="16.5" spans="1:7">
      <c r="A9" s="30" t="s">
        <v>764</v>
      </c>
      <c r="B9" s="24">
        <v>509.2</v>
      </c>
      <c r="C9" s="28">
        <v>232.8</v>
      </c>
      <c r="D9" s="25">
        <v>5.24</v>
      </c>
      <c r="E9" s="29">
        <v>57.9</v>
      </c>
      <c r="F9" s="29">
        <v>83.2</v>
      </c>
      <c r="G9" s="24">
        <v>25020082</v>
      </c>
    </row>
    <row r="10" ht="16.5" spans="1:7">
      <c r="A10" s="30" t="s">
        <v>765</v>
      </c>
      <c r="B10" s="24">
        <v>395</v>
      </c>
      <c r="C10" s="28">
        <v>255.5</v>
      </c>
      <c r="D10" s="25">
        <v>5.92</v>
      </c>
      <c r="E10" s="29">
        <v>84.2</v>
      </c>
      <c r="F10" s="29">
        <v>95.3</v>
      </c>
      <c r="G10" s="24">
        <v>25020244</v>
      </c>
    </row>
    <row r="11" ht="16.5" spans="1:7">
      <c r="A11" s="30" t="s">
        <v>534</v>
      </c>
      <c r="B11" s="24">
        <v>279.4</v>
      </c>
      <c r="C11" s="28">
        <v>294.6</v>
      </c>
      <c r="D11" s="25">
        <v>4.63</v>
      </c>
      <c r="E11" s="29">
        <v>93</v>
      </c>
      <c r="F11" s="29">
        <v>98.6</v>
      </c>
      <c r="G11" s="24">
        <v>25020461</v>
      </c>
    </row>
    <row r="12" ht="16.5" spans="1:7">
      <c r="A12" s="30" t="s">
        <v>766</v>
      </c>
      <c r="B12" s="24">
        <v>769.6</v>
      </c>
      <c r="C12" s="28">
        <v>139.4</v>
      </c>
      <c r="D12" s="25">
        <v>3.61</v>
      </c>
      <c r="E12" s="29">
        <v>77.7</v>
      </c>
      <c r="F12" s="29">
        <v>94.7</v>
      </c>
      <c r="G12" s="24">
        <v>25030101</v>
      </c>
    </row>
    <row r="13" ht="16.5" spans="1:7">
      <c r="A13" s="30" t="s">
        <v>767</v>
      </c>
      <c r="B13" s="24">
        <v>0</v>
      </c>
      <c r="C13" s="28">
        <v>137.1</v>
      </c>
      <c r="D13" s="25">
        <v>3.55</v>
      </c>
      <c r="E13" s="29">
        <v>77.4</v>
      </c>
      <c r="F13" s="29">
        <v>94.4</v>
      </c>
      <c r="G13" s="24">
        <v>25030102</v>
      </c>
    </row>
    <row r="14" ht="16.5" spans="1:7">
      <c r="A14" s="23" t="s">
        <v>768</v>
      </c>
      <c r="B14" s="14">
        <v>484.4</v>
      </c>
      <c r="C14" s="15">
        <v>139.8</v>
      </c>
      <c r="D14" s="16">
        <v>3.65</v>
      </c>
      <c r="E14" s="17">
        <v>71.8</v>
      </c>
      <c r="F14" s="17">
        <v>90.9</v>
      </c>
      <c r="G14" s="14">
        <v>25020342</v>
      </c>
    </row>
    <row r="15" ht="16.5" spans="1:7">
      <c r="A15" s="23"/>
      <c r="B15" s="14"/>
      <c r="C15" s="15"/>
      <c r="D15" s="16"/>
      <c r="E15" s="17"/>
      <c r="F15" s="17"/>
      <c r="G15" s="14"/>
    </row>
    <row r="16" ht="16.5" spans="1:7">
      <c r="A16" s="23"/>
      <c r="B16" s="14"/>
      <c r="C16" s="15"/>
      <c r="D16" s="16"/>
      <c r="E16" s="17"/>
      <c r="F16" s="17"/>
      <c r="G16" s="14"/>
    </row>
  </sheetData>
  <conditionalFormatting sqref="A1:A2">
    <cfRule type="duplicateValues" dxfId="0" priority="1"/>
  </conditionalFormatting>
  <dataValidations count="1">
    <dataValidation allowBlank="1" showInputMessage="1" showErrorMessage="1" sqref="B3:C16"/>
  </dataValidations>
  <pageMargins left="0.75" right="0.75" top="1" bottom="1" header="0.5" footer="0.5"/>
  <pageSetup paperSize="9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selection activeCell="R1" sqref="R$1:T$1048576"/>
    </sheetView>
  </sheetViews>
  <sheetFormatPr defaultColWidth="9" defaultRowHeight="13.5"/>
  <cols>
    <col min="1" max="1" width="15.625" customWidth="1"/>
    <col min="10" max="10" width="15.625" customWidth="1"/>
  </cols>
  <sheetData>
    <row r="1" ht="16.5" spans="1:16">
      <c r="A1" s="116">
        <v>326</v>
      </c>
      <c r="B1" s="2">
        <f>SUM(B3:B23)</f>
        <v>5021.6</v>
      </c>
      <c r="C1" s="3" cm="1">
        <f t="array" ref="C1">SUMPRODUCT(C3:C23*B3:B23)/B1</f>
        <v>158.1986657639</v>
      </c>
      <c r="D1" s="4" cm="1">
        <f t="array" ref="D1">SUMPRODUCT(B3:B23*D3:D23)/B1</f>
        <v>3.91584913175084</v>
      </c>
      <c r="E1" s="3" cm="1">
        <f t="array" ref="E1">SUMPRODUCT(B3:B23*E3:E23)/B1</f>
        <v>76.3570256491955</v>
      </c>
      <c r="F1" s="3" cm="1">
        <f t="array" ref="F1">SUMPRODUCT(B3:B23*F3:F23)/B1</f>
        <v>93.7741795443683</v>
      </c>
      <c r="J1" s="116">
        <v>327</v>
      </c>
      <c r="K1" s="2">
        <f>SUM(K3:K23)</f>
        <v>5084.6</v>
      </c>
      <c r="L1" s="3" cm="1">
        <f t="array" ref="L1">SUMPRODUCT(L3:L23*K3:K23)/K1</f>
        <v>159.229599181843</v>
      </c>
      <c r="M1" s="4" cm="1">
        <f t="array" ref="M1">SUMPRODUCT(K3:K23*M3:M23)/K1</f>
        <v>3.91083192384848</v>
      </c>
      <c r="N1" s="3" cm="1">
        <f t="array" ref="N1">SUMPRODUCT(K3:K23*N3:N23)/K1</f>
        <v>76.4649254611966</v>
      </c>
      <c r="O1" s="3" cm="1">
        <f t="array" ref="O1">SUMPRODUCT(K3:K23*O3:O23)/K1</f>
        <v>92.985697990009</v>
      </c>
    </row>
    <row r="2" ht="16.5" spans="1:16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6">
        <v>140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23" t="s">
        <v>769</v>
      </c>
      <c r="B3" s="14">
        <v>178.2</v>
      </c>
      <c r="C3" s="15">
        <v>132.9</v>
      </c>
      <c r="D3" s="16">
        <v>3.28</v>
      </c>
      <c r="E3" s="17">
        <v>52.2</v>
      </c>
      <c r="F3" s="17">
        <v>80.4</v>
      </c>
      <c r="G3" s="14">
        <v>24120405</v>
      </c>
      <c r="J3" s="30" t="s">
        <v>770</v>
      </c>
      <c r="K3" s="24">
        <v>465.6</v>
      </c>
      <c r="L3" s="28">
        <v>103.9</v>
      </c>
      <c r="M3" s="25">
        <v>2.83</v>
      </c>
      <c r="N3" s="29">
        <v>57.5</v>
      </c>
      <c r="O3" s="29">
        <v>82.3</v>
      </c>
      <c r="P3" s="24">
        <v>24120384</v>
      </c>
    </row>
    <row r="4" ht="16.5" spans="1:16">
      <c r="A4" s="23" t="s">
        <v>771</v>
      </c>
      <c r="B4" s="14">
        <v>511</v>
      </c>
      <c r="C4" s="15">
        <v>101.8</v>
      </c>
      <c r="D4" s="16">
        <v>2.83</v>
      </c>
      <c r="E4" s="17">
        <v>68.8</v>
      </c>
      <c r="F4" s="17">
        <v>89.7</v>
      </c>
      <c r="G4" s="14">
        <v>25010369</v>
      </c>
      <c r="J4" s="30" t="s">
        <v>772</v>
      </c>
      <c r="K4" s="24">
        <v>520.2</v>
      </c>
      <c r="L4" s="28">
        <v>137.1</v>
      </c>
      <c r="M4" s="25">
        <v>3.94</v>
      </c>
      <c r="N4" s="29">
        <v>68.1</v>
      </c>
      <c r="O4" s="29">
        <v>88.8</v>
      </c>
      <c r="P4" s="24">
        <v>25010362</v>
      </c>
    </row>
    <row r="5" ht="16.5" spans="1:16">
      <c r="A5" s="23" t="s">
        <v>773</v>
      </c>
      <c r="B5" s="14">
        <v>0</v>
      </c>
      <c r="C5" s="15">
        <v>102.7</v>
      </c>
      <c r="D5" s="16">
        <v>2.74</v>
      </c>
      <c r="E5" s="17">
        <v>69.9</v>
      </c>
      <c r="F5" s="17">
        <v>90.2</v>
      </c>
      <c r="G5" s="14">
        <v>25010422</v>
      </c>
      <c r="J5" s="30" t="s">
        <v>774</v>
      </c>
      <c r="K5" s="24">
        <v>0</v>
      </c>
      <c r="L5" s="28">
        <v>211.9</v>
      </c>
      <c r="M5" s="25">
        <v>4.86</v>
      </c>
      <c r="N5" s="29">
        <v>87.8</v>
      </c>
      <c r="O5" s="29">
        <v>97.4</v>
      </c>
      <c r="P5" s="24">
        <v>25020016</v>
      </c>
    </row>
    <row r="6" ht="16.5" spans="1:16">
      <c r="A6" s="23" t="s">
        <v>775</v>
      </c>
      <c r="B6" s="14">
        <v>326.6</v>
      </c>
      <c r="C6" s="15">
        <v>184.1</v>
      </c>
      <c r="D6" s="16">
        <v>5.19</v>
      </c>
      <c r="E6" s="17">
        <v>63</v>
      </c>
      <c r="F6" s="17">
        <v>86.1</v>
      </c>
      <c r="G6" s="14">
        <v>25020309</v>
      </c>
      <c r="J6" s="30" t="s">
        <v>776</v>
      </c>
      <c r="K6" s="24">
        <v>524.4</v>
      </c>
      <c r="L6" s="28">
        <v>241.2</v>
      </c>
      <c r="M6" s="25">
        <v>5.98</v>
      </c>
      <c r="N6" s="29">
        <v>81.6</v>
      </c>
      <c r="O6" s="29">
        <v>94.8</v>
      </c>
      <c r="P6" s="24">
        <v>25020304</v>
      </c>
    </row>
    <row r="7" ht="16.5" spans="1:16">
      <c r="A7" s="23" t="s">
        <v>777</v>
      </c>
      <c r="B7" s="14">
        <v>445.8</v>
      </c>
      <c r="C7" s="15">
        <v>245.9</v>
      </c>
      <c r="D7" s="16">
        <v>5.84</v>
      </c>
      <c r="E7" s="17">
        <v>87.4</v>
      </c>
      <c r="F7" s="17">
        <v>97.4</v>
      </c>
      <c r="G7" s="14">
        <v>25020387</v>
      </c>
      <c r="J7" s="30" t="s">
        <v>778</v>
      </c>
      <c r="K7" s="24">
        <v>387.2</v>
      </c>
      <c r="L7" s="28">
        <v>247.5</v>
      </c>
      <c r="M7" s="28">
        <v>5.55</v>
      </c>
      <c r="N7" s="29">
        <v>90.1</v>
      </c>
      <c r="O7" s="29">
        <v>98</v>
      </c>
      <c r="P7" s="24">
        <v>25020386</v>
      </c>
    </row>
    <row r="8" ht="16.5" spans="1:16">
      <c r="A8" s="23" t="s">
        <v>779</v>
      </c>
      <c r="B8" s="14">
        <v>509</v>
      </c>
      <c r="C8" s="15">
        <v>237.4</v>
      </c>
      <c r="D8" s="16">
        <v>5.79</v>
      </c>
      <c r="E8" s="17">
        <v>83</v>
      </c>
      <c r="F8" s="17">
        <v>94.8</v>
      </c>
      <c r="G8" s="14">
        <v>25020470</v>
      </c>
      <c r="J8" s="30" t="s">
        <v>767</v>
      </c>
      <c r="K8" s="24">
        <v>458</v>
      </c>
      <c r="L8" s="28">
        <v>137.1</v>
      </c>
      <c r="M8" s="25">
        <v>3.55</v>
      </c>
      <c r="N8" s="29">
        <v>77.4</v>
      </c>
      <c r="O8" s="29">
        <v>94.4</v>
      </c>
      <c r="P8" s="24">
        <v>25030102</v>
      </c>
    </row>
    <row r="9" ht="16.5" spans="1:16">
      <c r="A9" s="23" t="s">
        <v>780</v>
      </c>
      <c r="B9" s="14">
        <v>518.6</v>
      </c>
      <c r="C9" s="15">
        <v>141.3</v>
      </c>
      <c r="D9" s="16">
        <v>3.61</v>
      </c>
      <c r="E9" s="17">
        <v>74.6</v>
      </c>
      <c r="F9" s="17">
        <v>94.4</v>
      </c>
      <c r="G9" s="14">
        <v>25030250</v>
      </c>
      <c r="J9" s="30" t="s">
        <v>781</v>
      </c>
      <c r="K9" s="24">
        <v>0</v>
      </c>
      <c r="L9" s="28">
        <v>104.4</v>
      </c>
      <c r="M9" s="25">
        <v>2.83</v>
      </c>
      <c r="N9" s="29">
        <v>72.1</v>
      </c>
      <c r="O9" s="29">
        <v>91.6</v>
      </c>
      <c r="P9" s="24">
        <v>25030139</v>
      </c>
    </row>
    <row r="10" ht="16.5" spans="1:16">
      <c r="A10" s="23" t="s">
        <v>782</v>
      </c>
      <c r="B10" s="14">
        <v>544.4</v>
      </c>
      <c r="C10" s="15">
        <v>102.2</v>
      </c>
      <c r="D10" s="16">
        <v>2.8</v>
      </c>
      <c r="E10" s="17">
        <v>70.8</v>
      </c>
      <c r="F10" s="17">
        <v>93.8</v>
      </c>
      <c r="G10" s="14">
        <v>25030272</v>
      </c>
      <c r="J10" s="30" t="s">
        <v>783</v>
      </c>
      <c r="K10" s="24">
        <v>534.4</v>
      </c>
      <c r="L10" s="28">
        <v>104.3</v>
      </c>
      <c r="M10" s="25">
        <v>2.83</v>
      </c>
      <c r="N10" s="29">
        <v>71.6</v>
      </c>
      <c r="O10" s="29">
        <v>90.9</v>
      </c>
      <c r="P10" s="24">
        <v>25030140</v>
      </c>
    </row>
    <row r="11" ht="16.5" spans="1:16">
      <c r="A11" s="23" t="s">
        <v>784</v>
      </c>
      <c r="B11" s="14">
        <v>433</v>
      </c>
      <c r="C11" s="15">
        <v>247.9</v>
      </c>
      <c r="D11" s="16">
        <v>5.24</v>
      </c>
      <c r="E11" s="17">
        <v>90</v>
      </c>
      <c r="F11" s="17">
        <v>98.5</v>
      </c>
      <c r="G11" s="14">
        <v>25030314</v>
      </c>
      <c r="J11" s="30" t="s">
        <v>785</v>
      </c>
      <c r="K11" s="24">
        <v>349.6</v>
      </c>
      <c r="L11" s="28">
        <v>135.9</v>
      </c>
      <c r="M11" s="25">
        <v>3.43</v>
      </c>
      <c r="N11" s="29">
        <v>78.1</v>
      </c>
      <c r="O11" s="29">
        <v>94.1</v>
      </c>
      <c r="P11" s="24">
        <v>25030153</v>
      </c>
    </row>
    <row r="12" ht="16.5" spans="1:16">
      <c r="A12" s="23" t="s">
        <v>786</v>
      </c>
      <c r="B12" s="14">
        <v>515</v>
      </c>
      <c r="C12" s="15">
        <v>142.4</v>
      </c>
      <c r="D12" s="16">
        <v>3.28</v>
      </c>
      <c r="E12" s="17">
        <v>80.2</v>
      </c>
      <c r="F12" s="17">
        <v>95.4</v>
      </c>
      <c r="G12" s="14">
        <v>25030326</v>
      </c>
      <c r="J12" s="30" t="s">
        <v>787</v>
      </c>
      <c r="K12" s="24">
        <v>252.2</v>
      </c>
      <c r="L12" s="28">
        <v>236.5</v>
      </c>
      <c r="M12" s="25">
        <v>4.55</v>
      </c>
      <c r="N12" s="29">
        <v>88.4</v>
      </c>
      <c r="O12" s="29">
        <v>98.2</v>
      </c>
      <c r="P12" s="24">
        <v>25030197</v>
      </c>
    </row>
    <row r="13" ht="16.5" spans="1:16">
      <c r="A13" s="23" t="s">
        <v>788</v>
      </c>
      <c r="B13" s="14">
        <v>526</v>
      </c>
      <c r="C13" s="15">
        <v>124.3</v>
      </c>
      <c r="D13" s="16">
        <v>3.03</v>
      </c>
      <c r="E13" s="17">
        <v>82.7</v>
      </c>
      <c r="F13" s="17">
        <v>97.3</v>
      </c>
      <c r="G13" s="14">
        <v>25030327</v>
      </c>
      <c r="J13" s="30" t="s">
        <v>789</v>
      </c>
      <c r="K13" s="24">
        <v>498.4</v>
      </c>
      <c r="L13" s="28">
        <v>131.3</v>
      </c>
      <c r="M13" s="25">
        <v>3.24</v>
      </c>
      <c r="N13" s="29">
        <v>80.6</v>
      </c>
      <c r="O13" s="29">
        <v>96</v>
      </c>
      <c r="P13" s="24">
        <v>25030325</v>
      </c>
    </row>
    <row r="14" ht="16.5" spans="1:16">
      <c r="A14" s="23" t="s">
        <v>790</v>
      </c>
      <c r="B14" s="14">
        <v>514</v>
      </c>
      <c r="C14" s="15">
        <v>103.4</v>
      </c>
      <c r="D14" s="16">
        <v>2.8</v>
      </c>
      <c r="E14" s="17">
        <v>70.4</v>
      </c>
      <c r="F14" s="17">
        <v>93.3</v>
      </c>
      <c r="G14" s="14">
        <v>25030271</v>
      </c>
      <c r="J14" s="30" t="s">
        <v>791</v>
      </c>
      <c r="K14" s="24">
        <v>599.4</v>
      </c>
      <c r="L14" s="28">
        <v>113.5</v>
      </c>
      <c r="M14" s="25">
        <v>2.93</v>
      </c>
      <c r="N14" s="29">
        <v>68.1</v>
      </c>
      <c r="O14" s="29">
        <v>90.8</v>
      </c>
      <c r="P14" s="24">
        <v>25030309</v>
      </c>
    </row>
    <row r="15" ht="16.5" spans="1:16">
      <c r="J15" s="23" t="s">
        <v>792</v>
      </c>
      <c r="K15" s="14">
        <v>495.2</v>
      </c>
      <c r="L15" s="15">
        <v>219</v>
      </c>
      <c r="M15" s="16">
        <v>4.8</v>
      </c>
      <c r="N15" s="17">
        <v>90.1</v>
      </c>
      <c r="O15" s="17">
        <v>98.7</v>
      </c>
      <c r="P15" s="14">
        <v>25020039</v>
      </c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C11 L14 K15:L15 B12:C14 B3:C10 K3:L13"/>
  </dataValidations>
  <pageMargins left="0.75" right="0.75" top="1" bottom="1" header="0.5" footer="0.5"/>
  <pageSetup paperSize="9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328</v>
      </c>
      <c r="B1" s="2">
        <f>SUM(B3:B23)</f>
        <v>4043</v>
      </c>
      <c r="C1" s="3" cm="1">
        <f t="array" ref="C1">SUMPRODUCT(C3:C23*B3:B23)/B1</f>
        <v>258.088681672026</v>
      </c>
      <c r="D1" s="4" cm="1">
        <f t="array" ref="D1">SUMPRODUCT(B3:B23*D3:D23)/B1</f>
        <v>4.94978926539698</v>
      </c>
      <c r="E1" s="3" cm="1">
        <f t="array" ref="E1">SUMPRODUCT(B3:B23*E3:E23)/B1</f>
        <v>88.6776898342815</v>
      </c>
      <c r="F1" s="3" cm="1">
        <f t="array" ref="F1">SUMPRODUCT(B3:B23*F3:F23)/B1</f>
        <v>97.5991936680683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121" t="s">
        <v>793</v>
      </c>
      <c r="B3" s="14">
        <v>510.4</v>
      </c>
      <c r="C3" s="15">
        <v>279.4</v>
      </c>
      <c r="D3" s="16">
        <v>5.73</v>
      </c>
      <c r="E3" s="17">
        <v>90.4</v>
      </c>
      <c r="F3" s="17">
        <v>98.2</v>
      </c>
      <c r="G3" s="14">
        <v>24120157</v>
      </c>
    </row>
    <row r="4" ht="16.5" spans="1:7">
      <c r="A4" s="121" t="s">
        <v>794</v>
      </c>
      <c r="B4" s="14">
        <v>490.6</v>
      </c>
      <c r="C4" s="15">
        <v>270.7</v>
      </c>
      <c r="D4" s="16">
        <v>5.35</v>
      </c>
      <c r="E4" s="17">
        <v>86</v>
      </c>
      <c r="F4" s="17">
        <v>95.8</v>
      </c>
      <c r="G4" s="14">
        <v>24120427</v>
      </c>
    </row>
    <row r="5" ht="16.5" spans="1:7">
      <c r="A5" s="132" t="s">
        <v>795</v>
      </c>
      <c r="B5" s="24">
        <v>0</v>
      </c>
      <c r="C5" s="28">
        <v>135.3</v>
      </c>
      <c r="D5" s="25">
        <v>3.43</v>
      </c>
      <c r="E5" s="29">
        <v>54.2</v>
      </c>
      <c r="F5" s="29">
        <v>80.9</v>
      </c>
      <c r="G5" s="24">
        <v>24120477</v>
      </c>
    </row>
    <row r="6" ht="16.5" spans="1:7">
      <c r="A6" s="121" t="s">
        <v>796</v>
      </c>
      <c r="B6" s="14">
        <v>512.6</v>
      </c>
      <c r="C6" s="15">
        <v>285.3</v>
      </c>
      <c r="D6" s="16">
        <v>5.13</v>
      </c>
      <c r="E6" s="17">
        <v>90.2</v>
      </c>
      <c r="F6" s="17">
        <v>97.8</v>
      </c>
      <c r="G6" s="14">
        <v>25010037</v>
      </c>
    </row>
    <row r="7" ht="16.5" spans="1:7">
      <c r="A7" s="121" t="s">
        <v>797</v>
      </c>
      <c r="B7" s="14">
        <v>524.4</v>
      </c>
      <c r="C7" s="15">
        <v>277.1</v>
      </c>
      <c r="D7" s="16">
        <v>5.35</v>
      </c>
      <c r="E7" s="17">
        <v>90.7</v>
      </c>
      <c r="F7" s="17">
        <v>98.3</v>
      </c>
      <c r="G7" s="14">
        <v>25010067</v>
      </c>
    </row>
    <row r="8" ht="16.5" spans="1:7">
      <c r="A8" s="121" t="s">
        <v>798</v>
      </c>
      <c r="B8" s="14">
        <v>459.6</v>
      </c>
      <c r="C8" s="15">
        <v>280.6</v>
      </c>
      <c r="D8" s="16">
        <v>5.11</v>
      </c>
      <c r="E8" s="17">
        <v>90.2</v>
      </c>
      <c r="F8" s="17">
        <v>98.2</v>
      </c>
      <c r="G8" s="14">
        <v>25030009</v>
      </c>
    </row>
    <row r="9" ht="16.5" spans="1:7">
      <c r="A9" s="23" t="s">
        <v>799</v>
      </c>
      <c r="B9" s="14"/>
      <c r="C9" s="15">
        <v>285.8</v>
      </c>
      <c r="D9" s="16">
        <v>4.86</v>
      </c>
      <c r="E9" s="17">
        <v>91.3</v>
      </c>
      <c r="F9" s="17">
        <v>98.6</v>
      </c>
      <c r="G9" s="14">
        <v>25030078</v>
      </c>
    </row>
    <row r="10" ht="16.5" spans="1:7">
      <c r="A10" s="23" t="s">
        <v>800</v>
      </c>
      <c r="B10" s="14"/>
      <c r="C10" s="15">
        <v>185.3</v>
      </c>
      <c r="D10" s="16">
        <v>4.49</v>
      </c>
      <c r="E10" s="17">
        <v>72.1</v>
      </c>
      <c r="F10" s="17">
        <v>91</v>
      </c>
      <c r="G10" s="14">
        <v>25030190</v>
      </c>
    </row>
    <row r="11" ht="16.5" spans="1:7">
      <c r="A11" s="23" t="s">
        <v>801</v>
      </c>
      <c r="B11" s="14">
        <v>537.4</v>
      </c>
      <c r="C11" s="15">
        <v>277.7</v>
      </c>
      <c r="D11" s="16">
        <v>4.55</v>
      </c>
      <c r="E11" s="17">
        <v>93.1</v>
      </c>
      <c r="F11" s="17">
        <v>99.1</v>
      </c>
      <c r="G11" s="14">
        <v>25030350</v>
      </c>
    </row>
    <row r="12" ht="16.5" spans="1:7">
      <c r="A12" s="23" t="s">
        <v>802</v>
      </c>
      <c r="B12" s="14">
        <v>488.4</v>
      </c>
      <c r="C12" s="15">
        <v>259.6</v>
      </c>
      <c r="D12" s="16">
        <v>4.86</v>
      </c>
      <c r="E12" s="17">
        <v>88.2</v>
      </c>
      <c r="F12" s="17">
        <v>97.3</v>
      </c>
      <c r="G12" s="14">
        <v>25030335</v>
      </c>
    </row>
    <row r="13" ht="16.5" spans="1:7">
      <c r="A13" s="23" t="s">
        <v>803</v>
      </c>
      <c r="B13" s="14">
        <v>519.6</v>
      </c>
      <c r="C13" s="15">
        <v>137.6</v>
      </c>
      <c r="D13" s="16">
        <v>3.58</v>
      </c>
      <c r="E13" s="17">
        <v>80.5</v>
      </c>
      <c r="F13" s="17">
        <v>96</v>
      </c>
      <c r="G13" s="14">
        <v>25030360</v>
      </c>
    </row>
    <row r="27" ht="16.5" spans="1:7">
      <c r="A27" s="116">
        <v>329</v>
      </c>
      <c r="B27" s="2">
        <f>SUM(B29:B49)</f>
        <v>5067</v>
      </c>
      <c r="C27" s="3" cm="1">
        <f t="array" ref="C27">SUMPRODUCT(C29:C49*B29:B49)/B27</f>
        <v>175.952851786067</v>
      </c>
      <c r="D27" s="4" cm="1">
        <f t="array" ref="D27">SUMPRODUCT(B29:B49*D29:D49)/B27</f>
        <v>3.95864858890862</v>
      </c>
      <c r="E27" s="3" cm="1">
        <f t="array" ref="E27">SUMPRODUCT(B29:B49*E29:E49)/B27</f>
        <v>78.9530254588514</v>
      </c>
      <c r="F27" s="3" cm="1">
        <f t="array" ref="F27">SUMPRODUCT(B29:B49*F29:F49)/B27</f>
        <v>94.2165028616538</v>
      </c>
    </row>
    <row r="28" ht="16.5" spans="1:7">
      <c r="A28" s="6">
        <v>160</v>
      </c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</row>
    <row r="29" ht="16.5" spans="1:7">
      <c r="A29" s="39" t="s">
        <v>804</v>
      </c>
      <c r="B29" s="9">
        <v>437.2</v>
      </c>
      <c r="C29" s="10">
        <v>136.4</v>
      </c>
      <c r="D29" s="11">
        <v>3.67</v>
      </c>
      <c r="E29" s="12">
        <v>80.6</v>
      </c>
      <c r="F29" s="12">
        <v>96.2</v>
      </c>
      <c r="G29" s="34">
        <v>25030419</v>
      </c>
    </row>
    <row r="30" ht="16.5" spans="1:7">
      <c r="A30" s="39" t="s">
        <v>805</v>
      </c>
      <c r="B30" s="9">
        <v>489.8</v>
      </c>
      <c r="C30" s="10">
        <v>121.5</v>
      </c>
      <c r="D30" s="11">
        <v>3.28</v>
      </c>
      <c r="E30" s="12">
        <v>75</v>
      </c>
      <c r="F30" s="12">
        <v>92.9</v>
      </c>
      <c r="G30" s="34">
        <v>25030420</v>
      </c>
    </row>
    <row r="31" ht="16.5" spans="1:7">
      <c r="A31" s="39" t="s">
        <v>806</v>
      </c>
      <c r="B31" s="9">
        <v>454</v>
      </c>
      <c r="C31" s="10">
        <v>121</v>
      </c>
      <c r="D31" s="11">
        <v>3.24</v>
      </c>
      <c r="E31" s="12">
        <v>74.3</v>
      </c>
      <c r="F31" s="12">
        <v>92.4</v>
      </c>
      <c r="G31" s="34">
        <v>25030421</v>
      </c>
    </row>
    <row r="32" ht="16.5" spans="1:7">
      <c r="A32" s="39" t="s">
        <v>807</v>
      </c>
      <c r="B32" s="9">
        <v>768.8</v>
      </c>
      <c r="C32" s="10">
        <v>105</v>
      </c>
      <c r="D32" s="11">
        <v>2.8</v>
      </c>
      <c r="E32" s="12">
        <v>69.5</v>
      </c>
      <c r="F32" s="12">
        <v>90</v>
      </c>
      <c r="G32" s="34">
        <v>25030422</v>
      </c>
    </row>
    <row r="33" ht="16.5" spans="1:7">
      <c r="A33" s="39" t="s">
        <v>808</v>
      </c>
      <c r="B33" s="9">
        <v>485</v>
      </c>
      <c r="C33" s="10">
        <v>183</v>
      </c>
      <c r="D33" s="11">
        <v>4.66</v>
      </c>
      <c r="E33" s="12">
        <v>77.2</v>
      </c>
      <c r="F33" s="12">
        <v>93.2</v>
      </c>
      <c r="G33" s="34">
        <v>25030357</v>
      </c>
    </row>
    <row r="34" ht="16.5" spans="1:7">
      <c r="A34" s="39" t="s">
        <v>809</v>
      </c>
      <c r="B34" s="9">
        <v>389.4</v>
      </c>
      <c r="C34" s="10">
        <v>234.3</v>
      </c>
      <c r="D34" s="11">
        <v>4.75</v>
      </c>
      <c r="E34" s="12">
        <v>82.9</v>
      </c>
      <c r="F34" s="12">
        <v>95.8</v>
      </c>
      <c r="G34" s="34">
        <v>25030246</v>
      </c>
    </row>
    <row r="35" ht="16.5" spans="1:7">
      <c r="A35" s="39" t="s">
        <v>810</v>
      </c>
      <c r="B35" s="9">
        <v>229.8</v>
      </c>
      <c r="C35" s="10">
        <v>218.9</v>
      </c>
      <c r="D35" s="11">
        <v>4.69</v>
      </c>
      <c r="E35" s="12">
        <v>80.7</v>
      </c>
      <c r="F35" s="12">
        <v>95.6</v>
      </c>
      <c r="G35" s="34">
        <v>25030247</v>
      </c>
    </row>
    <row r="36" ht="16.5" spans="1:7">
      <c r="A36" s="39" t="s">
        <v>811</v>
      </c>
      <c r="B36" s="9">
        <v>353.8</v>
      </c>
      <c r="C36" s="10">
        <v>133.3</v>
      </c>
      <c r="D36" s="11">
        <v>3.498</v>
      </c>
      <c r="E36" s="12">
        <v>64.7</v>
      </c>
      <c r="F36" s="12">
        <v>88.6</v>
      </c>
      <c r="G36" s="34">
        <v>25020201</v>
      </c>
    </row>
    <row r="37" ht="16.5" spans="1:7">
      <c r="A37" s="75" t="s">
        <v>812</v>
      </c>
      <c r="B37" s="9">
        <v>0</v>
      </c>
      <c r="C37" s="10">
        <v>271.5</v>
      </c>
      <c r="D37" s="11">
        <v>4.32</v>
      </c>
      <c r="E37" s="12">
        <v>90.7</v>
      </c>
      <c r="F37" s="12">
        <v>98.1</v>
      </c>
      <c r="G37" s="34">
        <v>25020351</v>
      </c>
    </row>
    <row r="38" ht="16.5" spans="1:7">
      <c r="A38" s="39" t="s">
        <v>813</v>
      </c>
      <c r="B38" s="9">
        <v>505.4</v>
      </c>
      <c r="C38" s="10">
        <v>189</v>
      </c>
      <c r="D38" s="11">
        <v>4.77</v>
      </c>
      <c r="E38" s="12">
        <v>81.8</v>
      </c>
      <c r="F38" s="12">
        <v>95.7</v>
      </c>
      <c r="G38" s="34">
        <v>25030377</v>
      </c>
    </row>
    <row r="39" ht="16.5" spans="1:7">
      <c r="A39" s="75" t="s">
        <v>814</v>
      </c>
      <c r="B39" s="9">
        <v>0</v>
      </c>
      <c r="C39" s="10">
        <v>280.5</v>
      </c>
      <c r="D39" s="11">
        <v>4.66</v>
      </c>
      <c r="E39" s="12">
        <v>92</v>
      </c>
      <c r="F39" s="12">
        <v>98.7</v>
      </c>
      <c r="G39" s="34">
        <v>25030141</v>
      </c>
    </row>
    <row r="40" ht="16.5" spans="1:7">
      <c r="A40" s="39" t="s">
        <v>815</v>
      </c>
      <c r="B40" s="9">
        <v>284</v>
      </c>
      <c r="C40" s="10">
        <v>284</v>
      </c>
      <c r="D40" s="11">
        <v>4.63</v>
      </c>
      <c r="E40" s="12">
        <v>91.7</v>
      </c>
      <c r="F40" s="12">
        <v>98.5</v>
      </c>
      <c r="G40" s="34">
        <v>25030142</v>
      </c>
    </row>
    <row r="41" ht="16.5" spans="1:7">
      <c r="A41" s="39" t="s">
        <v>816</v>
      </c>
      <c r="B41" s="9">
        <v>231.2</v>
      </c>
      <c r="C41" s="10">
        <v>276.6</v>
      </c>
      <c r="D41" s="11">
        <v>4.66</v>
      </c>
      <c r="E41" s="12">
        <v>92.6</v>
      </c>
      <c r="F41" s="12">
        <v>99</v>
      </c>
      <c r="G41" s="9">
        <v>25030386</v>
      </c>
    </row>
    <row r="42" ht="16.5" spans="1:7">
      <c r="A42" s="39" t="s">
        <v>817</v>
      </c>
      <c r="B42" s="9">
        <v>438.6</v>
      </c>
      <c r="C42" s="10">
        <v>271.7</v>
      </c>
      <c r="D42" s="11">
        <v>4.55</v>
      </c>
      <c r="E42" s="12">
        <v>93.4</v>
      </c>
      <c r="F42" s="12">
        <v>99.5</v>
      </c>
      <c r="G42" s="9">
        <v>25030390</v>
      </c>
    </row>
  </sheetData>
  <conditionalFormatting sqref="A1:A2">
    <cfRule type="duplicateValues" dxfId="0" priority="4"/>
  </conditionalFormatting>
  <conditionalFormatting sqref="A27:A28">
    <cfRule type="duplicateValues" dxfId="0" priority="2"/>
  </conditionalFormatting>
  <dataValidations count="1">
    <dataValidation allowBlank="1" showInputMessage="1" showErrorMessage="1" sqref="C6 B7:C13 B3:C5 B29:C42"/>
  </dataValidations>
  <pageMargins left="0.75" right="0.75" top="1" bottom="1" header="0.5" footer="0.5"/>
  <pageSetup paperSize="9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workbookViewId="0">
      <selection activeCell="R1" sqref="R$1:T$1048576"/>
    </sheetView>
  </sheetViews>
  <sheetFormatPr defaultColWidth="9" defaultRowHeight="13.5"/>
  <cols>
    <col min="1" max="1" width="15.625" customWidth="1"/>
    <col min="3" max="3" width="9.375"/>
    <col min="7" max="7" width="9.375"/>
    <col min="10" max="10" width="15.625" customWidth="1"/>
    <col min="12" max="12" width="9.375"/>
    <col min="16" max="16" width="9.375"/>
  </cols>
  <sheetData>
    <row r="1" ht="16.5" spans="1:16">
      <c r="A1" s="116">
        <v>402</v>
      </c>
      <c r="B1" s="2">
        <f>SUM(B3:B23)</f>
        <v>4995.8</v>
      </c>
      <c r="C1" s="3" cm="1">
        <f t="array" ref="C1">SUMPRODUCT(C3:C23*B3:B23)/B1</f>
        <v>216.780891949237</v>
      </c>
      <c r="D1" s="4" cm="1">
        <f t="array" ref="D1">SUMPRODUCT(B3:B23*D3:D23)/B1</f>
        <v>4.90579967172425</v>
      </c>
      <c r="E1" s="3" cm="1">
        <f t="array" ref="E1">SUMPRODUCT(B3:B23*E3:E23)/B1</f>
        <v>86.4368589615277</v>
      </c>
      <c r="F1" s="3" cm="1">
        <f t="array" ref="F1">SUMPRODUCT(B3:B23*F3:F23)/B1</f>
        <v>97.629929140478</v>
      </c>
      <c r="J1" s="116">
        <v>401</v>
      </c>
      <c r="K1" s="2">
        <f>SUM(K3:K23)</f>
        <v>5236</v>
      </c>
      <c r="L1" s="3" cm="1">
        <f t="array" ref="L1">SUMPRODUCT(L3:L23*K3:K23)/K1</f>
        <v>216.784537815126</v>
      </c>
      <c r="M1" s="4" cm="1">
        <f t="array" ref="M1">SUMPRODUCT(K3:K23*M3:M23)/K1</f>
        <v>4.92544346829641</v>
      </c>
      <c r="N1" s="3" cm="1">
        <f t="array" ref="N1">SUMPRODUCT(K3:K23*N3:N23)/K1</f>
        <v>86.5646065699007</v>
      </c>
      <c r="O1" s="3" cm="1">
        <f t="array" ref="O1">SUMPRODUCT(K3:K23*O3:O23)/K1</f>
        <v>97.3022841864018</v>
      </c>
      <c r="P1" s="60"/>
    </row>
    <row r="2" ht="16.5" spans="1:16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52">
        <v>200</v>
      </c>
      <c r="K2" s="52" t="s">
        <v>0</v>
      </c>
      <c r="L2" s="52" t="s">
        <v>1</v>
      </c>
      <c r="M2" s="52" t="s">
        <v>2</v>
      </c>
      <c r="N2" s="52" t="s">
        <v>3</v>
      </c>
      <c r="O2" s="52" t="s">
        <v>4</v>
      </c>
      <c r="P2" s="60"/>
    </row>
    <row r="3" ht="16.5" spans="1:16">
      <c r="A3" s="39" t="s">
        <v>818</v>
      </c>
      <c r="B3" s="9">
        <v>304.2</v>
      </c>
      <c r="C3" s="10">
        <v>217</v>
      </c>
      <c r="D3" s="11">
        <v>5.16</v>
      </c>
      <c r="E3" s="12">
        <v>87.4</v>
      </c>
      <c r="F3" s="12">
        <v>98.1</v>
      </c>
      <c r="G3" s="34">
        <v>25030415</v>
      </c>
      <c r="J3" s="39" t="s">
        <v>819</v>
      </c>
      <c r="K3" s="9">
        <v>809.2</v>
      </c>
      <c r="L3" s="10">
        <v>189.9</v>
      </c>
      <c r="M3" s="11">
        <v>4.03</v>
      </c>
      <c r="N3" s="12">
        <v>88.4</v>
      </c>
      <c r="O3" s="12">
        <v>98.2</v>
      </c>
      <c r="P3" s="34">
        <v>25030432</v>
      </c>
    </row>
    <row r="4" ht="16.5" spans="1:16">
      <c r="A4" s="39" t="s">
        <v>820</v>
      </c>
      <c r="B4" s="9">
        <v>790.8</v>
      </c>
      <c r="C4" s="10">
        <v>218.1</v>
      </c>
      <c r="D4" s="11">
        <v>5.44</v>
      </c>
      <c r="E4" s="12">
        <v>86.8</v>
      </c>
      <c r="F4" s="12">
        <v>97.7</v>
      </c>
      <c r="G4" s="34">
        <v>25030416</v>
      </c>
      <c r="J4" s="39" t="s">
        <v>821</v>
      </c>
      <c r="K4" s="9">
        <v>454.6</v>
      </c>
      <c r="L4" s="10">
        <v>209.7</v>
      </c>
      <c r="M4" s="11">
        <v>5.22</v>
      </c>
      <c r="N4" s="12">
        <v>85.8</v>
      </c>
      <c r="O4" s="12">
        <v>97.3</v>
      </c>
      <c r="P4" s="34">
        <v>25030394</v>
      </c>
    </row>
    <row r="5" ht="16.5" spans="1:16">
      <c r="A5" s="39" t="s">
        <v>822</v>
      </c>
      <c r="B5" s="9">
        <v>713.6</v>
      </c>
      <c r="C5" s="10">
        <v>212.3</v>
      </c>
      <c r="D5" s="11">
        <v>5.63</v>
      </c>
      <c r="E5" s="12">
        <v>85.6</v>
      </c>
      <c r="F5" s="12">
        <v>97.3</v>
      </c>
      <c r="G5" s="34">
        <v>25030417</v>
      </c>
      <c r="J5" s="39" t="s">
        <v>823</v>
      </c>
      <c r="K5" s="9">
        <v>180</v>
      </c>
      <c r="L5" s="10">
        <v>212.4</v>
      </c>
      <c r="M5" s="11">
        <v>5.35</v>
      </c>
      <c r="N5" s="12">
        <v>85.4</v>
      </c>
      <c r="O5" s="12">
        <v>97.2</v>
      </c>
      <c r="P5" s="34">
        <v>25030395</v>
      </c>
    </row>
    <row r="6" ht="16.5" spans="1:16">
      <c r="A6" s="39" t="s">
        <v>824</v>
      </c>
      <c r="B6" s="9">
        <v>347.8</v>
      </c>
      <c r="C6" s="10">
        <v>186.2</v>
      </c>
      <c r="D6" s="11">
        <v>4.97</v>
      </c>
      <c r="E6" s="12">
        <v>82.8</v>
      </c>
      <c r="F6" s="12">
        <v>96.4</v>
      </c>
      <c r="G6" s="34">
        <v>25030418</v>
      </c>
      <c r="J6" s="68" t="s">
        <v>825</v>
      </c>
      <c r="K6" s="34">
        <v>524.6</v>
      </c>
      <c r="L6" s="10">
        <v>187.6</v>
      </c>
      <c r="M6" s="11">
        <v>5.08</v>
      </c>
      <c r="N6" s="12">
        <v>83</v>
      </c>
      <c r="O6" s="12">
        <v>96.7</v>
      </c>
      <c r="P6" s="34">
        <v>25030397</v>
      </c>
    </row>
    <row r="7" ht="16.5" spans="1:16">
      <c r="A7" s="39" t="s">
        <v>826</v>
      </c>
      <c r="B7" s="9">
        <v>495.6</v>
      </c>
      <c r="C7" s="10">
        <v>260.5</v>
      </c>
      <c r="D7" s="11">
        <v>4.26</v>
      </c>
      <c r="E7" s="12">
        <v>90.4</v>
      </c>
      <c r="F7" s="12">
        <v>98.7</v>
      </c>
      <c r="G7" s="34">
        <v>25030427</v>
      </c>
      <c r="J7" s="39" t="s">
        <v>827</v>
      </c>
      <c r="K7" s="9">
        <v>477.2</v>
      </c>
      <c r="L7" s="10">
        <v>247.7</v>
      </c>
      <c r="M7" s="11">
        <v>5</v>
      </c>
      <c r="N7" s="12">
        <v>90.4</v>
      </c>
      <c r="O7" s="12">
        <v>98.3</v>
      </c>
      <c r="P7" s="34">
        <v>25030393</v>
      </c>
    </row>
    <row r="8" ht="16.5" spans="1:16">
      <c r="A8" s="39" t="s">
        <v>828</v>
      </c>
      <c r="B8" s="9">
        <v>504.8</v>
      </c>
      <c r="C8" s="10">
        <v>211.9</v>
      </c>
      <c r="D8" s="11">
        <v>4.55</v>
      </c>
      <c r="E8" s="12">
        <v>88.7</v>
      </c>
      <c r="F8" s="12">
        <v>98.8</v>
      </c>
      <c r="G8" s="34">
        <v>25030411</v>
      </c>
      <c r="J8" s="39" t="s">
        <v>829</v>
      </c>
      <c r="K8" s="9">
        <v>512.8</v>
      </c>
      <c r="L8" s="10">
        <v>203.8</v>
      </c>
      <c r="M8" s="11">
        <v>5.11</v>
      </c>
      <c r="N8" s="12">
        <v>83.8</v>
      </c>
      <c r="O8" s="12">
        <v>96.5</v>
      </c>
      <c r="P8" s="34">
        <v>25030376</v>
      </c>
    </row>
    <row r="9" ht="16.5" spans="1:16">
      <c r="A9" s="39" t="s">
        <v>830</v>
      </c>
      <c r="B9" s="9">
        <v>504.6</v>
      </c>
      <c r="C9" s="10">
        <v>200.6</v>
      </c>
      <c r="D9" s="11">
        <v>4.75</v>
      </c>
      <c r="E9" s="12">
        <v>87.4</v>
      </c>
      <c r="F9" s="12">
        <v>98.6</v>
      </c>
      <c r="G9" s="34">
        <v>25030413</v>
      </c>
      <c r="J9" s="39" t="s">
        <v>831</v>
      </c>
      <c r="K9" s="9">
        <v>169.6</v>
      </c>
      <c r="L9" s="10">
        <v>187.2</v>
      </c>
      <c r="M9" s="11">
        <v>4.69</v>
      </c>
      <c r="N9" s="12">
        <v>80.9</v>
      </c>
      <c r="O9" s="12">
        <v>95.4</v>
      </c>
      <c r="P9" s="34">
        <v>25030378</v>
      </c>
    </row>
    <row r="10" ht="16.5" spans="1:16">
      <c r="A10" s="39" t="s">
        <v>832</v>
      </c>
      <c r="B10" s="9">
        <v>318.8</v>
      </c>
      <c r="C10" s="10">
        <v>201.9</v>
      </c>
      <c r="D10" s="11">
        <v>4.72</v>
      </c>
      <c r="E10" s="12">
        <v>87</v>
      </c>
      <c r="F10" s="12">
        <v>98.3</v>
      </c>
      <c r="G10" s="34">
        <v>25030414</v>
      </c>
      <c r="J10" s="39" t="s">
        <v>833</v>
      </c>
      <c r="K10" s="9">
        <v>502.8</v>
      </c>
      <c r="L10" s="10">
        <v>247.8</v>
      </c>
      <c r="M10" s="11">
        <v>5.22</v>
      </c>
      <c r="N10" s="12">
        <v>86.7</v>
      </c>
      <c r="O10" s="12">
        <v>96.6</v>
      </c>
      <c r="P10" s="34">
        <v>25030354</v>
      </c>
    </row>
    <row r="11" ht="16.5" spans="1:16">
      <c r="A11" s="39" t="s">
        <v>834</v>
      </c>
      <c r="B11" s="9">
        <v>521</v>
      </c>
      <c r="C11" s="10">
        <v>184.2</v>
      </c>
      <c r="D11" s="11">
        <v>4.72</v>
      </c>
      <c r="E11" s="12">
        <v>77.8</v>
      </c>
      <c r="F11" s="12">
        <v>94.1</v>
      </c>
      <c r="G11" s="34">
        <v>25030340</v>
      </c>
      <c r="J11" s="39" t="s">
        <v>835</v>
      </c>
      <c r="K11" s="9">
        <v>510.6</v>
      </c>
      <c r="L11" s="10">
        <v>234.3</v>
      </c>
      <c r="M11" s="11">
        <v>4.66</v>
      </c>
      <c r="N11" s="12">
        <v>89.9</v>
      </c>
      <c r="O11" s="12">
        <v>98.3</v>
      </c>
      <c r="P11" s="34">
        <v>25030468</v>
      </c>
    </row>
    <row r="12" ht="16.5" spans="1:16">
      <c r="A12" s="39" t="s">
        <v>836</v>
      </c>
      <c r="B12" s="9">
        <v>494.6</v>
      </c>
      <c r="C12" s="10">
        <v>264.1</v>
      </c>
      <c r="D12" s="11">
        <v>4.29</v>
      </c>
      <c r="E12" s="12">
        <v>90.5</v>
      </c>
      <c r="F12" s="12">
        <v>98.6</v>
      </c>
      <c r="G12" s="34">
        <v>25030426</v>
      </c>
      <c r="J12" s="39" t="s">
        <v>837</v>
      </c>
      <c r="K12" s="9">
        <v>243.2</v>
      </c>
      <c r="L12" s="10">
        <v>207.4</v>
      </c>
      <c r="M12" s="11">
        <v>4.57</v>
      </c>
      <c r="N12" s="12">
        <v>88.6</v>
      </c>
      <c r="O12" s="12">
        <v>98.8</v>
      </c>
      <c r="P12" s="9">
        <v>25030412</v>
      </c>
    </row>
    <row r="13" ht="16.5" spans="1:16">
      <c r="J13" s="39" t="s">
        <v>838</v>
      </c>
      <c r="K13" s="9">
        <v>328.8</v>
      </c>
      <c r="L13" s="10">
        <v>228.4</v>
      </c>
      <c r="M13" s="11">
        <v>5.55</v>
      </c>
      <c r="N13" s="12">
        <v>82.4</v>
      </c>
      <c r="O13" s="12">
        <v>95</v>
      </c>
      <c r="P13" s="9">
        <v>25030150</v>
      </c>
    </row>
    <row r="14" ht="16.5" spans="1:16">
      <c r="J14" s="39" t="s">
        <v>839</v>
      </c>
      <c r="K14" s="9">
        <v>0</v>
      </c>
      <c r="L14" s="10">
        <v>239.3</v>
      </c>
      <c r="M14" s="11">
        <v>5.02</v>
      </c>
      <c r="N14" s="12">
        <v>89.8</v>
      </c>
      <c r="O14" s="12">
        <v>98.1</v>
      </c>
      <c r="P14" s="9">
        <v>25030064</v>
      </c>
    </row>
    <row r="15" ht="16.5" spans="1:16">
      <c r="J15" s="39" t="s">
        <v>840</v>
      </c>
      <c r="K15" s="9">
        <v>522.6</v>
      </c>
      <c r="L15" s="10">
        <v>239.6</v>
      </c>
      <c r="M15" s="11">
        <v>5.33</v>
      </c>
      <c r="N15" s="12">
        <v>87.7</v>
      </c>
      <c r="O15" s="12">
        <v>97.5</v>
      </c>
      <c r="P15" s="9">
        <v>25030033</v>
      </c>
    </row>
    <row r="28" ht="16.5" spans="1:12">
      <c r="A28" s="116">
        <v>403</v>
      </c>
      <c r="B28" s="2">
        <f>SUM(B30:B50)</f>
        <v>5153.8</v>
      </c>
      <c r="C28" s="3" cm="1">
        <f t="array" ref="C28">SUMPRODUCT(C30:C50*B30:B50)/B28</f>
        <v>216.749427606814</v>
      </c>
      <c r="D28" s="4" cm="1">
        <f t="array" ref="D28">SUMPRODUCT(B30:B50*D30:D50)/B28</f>
        <v>4.90552990026776</v>
      </c>
      <c r="E28" s="3" cm="1">
        <f t="array" ref="E28">SUMPRODUCT(B30:B50*E30:E50)/B28</f>
        <v>86.4859443517404</v>
      </c>
      <c r="F28" s="3" cm="1">
        <f t="array" ref="F28">SUMPRODUCT(B30:B50*F30:F50)/B28</f>
        <v>97.2051495983546</v>
      </c>
    </row>
    <row r="29" ht="16.5" spans="1:12">
      <c r="A29" s="6">
        <v>200</v>
      </c>
      <c r="B29" s="6" t="s">
        <v>0</v>
      </c>
      <c r="C29" s="6" t="s">
        <v>1</v>
      </c>
      <c r="D29" s="6" t="s">
        <v>2</v>
      </c>
      <c r="E29" s="6" t="s">
        <v>3</v>
      </c>
      <c r="F29" s="6" t="s">
        <v>4</v>
      </c>
    </row>
    <row r="30" ht="16.5" spans="1:12">
      <c r="A30" s="39" t="s">
        <v>841</v>
      </c>
      <c r="B30" s="9">
        <v>411.4</v>
      </c>
      <c r="C30" s="10">
        <v>214.5</v>
      </c>
      <c r="D30" s="11">
        <v>4.72</v>
      </c>
      <c r="E30" s="12">
        <v>88.2</v>
      </c>
      <c r="F30" s="12">
        <v>98.1</v>
      </c>
      <c r="G30" s="34">
        <v>25030469</v>
      </c>
      <c r="J30" s="23" t="s">
        <v>841</v>
      </c>
      <c r="K30" s="14">
        <v>411.4</v>
      </c>
      <c r="L30" s="24">
        <v>25030469</v>
      </c>
    </row>
    <row r="31" ht="16.5" spans="1:12">
      <c r="A31" s="39" t="s">
        <v>842</v>
      </c>
      <c r="B31" s="9">
        <v>808.4</v>
      </c>
      <c r="C31" s="10">
        <v>209.2</v>
      </c>
      <c r="D31" s="11">
        <v>5.02</v>
      </c>
      <c r="E31" s="12">
        <v>83.4</v>
      </c>
      <c r="F31" s="12">
        <v>95.5</v>
      </c>
      <c r="G31" s="34">
        <v>25030470</v>
      </c>
      <c r="J31" s="23" t="s">
        <v>842</v>
      </c>
      <c r="K31" s="14">
        <v>808.4</v>
      </c>
      <c r="L31" s="24">
        <v>25030470</v>
      </c>
    </row>
    <row r="32" ht="16.5" spans="1:12">
      <c r="A32" s="39" t="s">
        <v>843</v>
      </c>
      <c r="B32" s="9">
        <v>509.2</v>
      </c>
      <c r="C32" s="10">
        <v>205.5</v>
      </c>
      <c r="D32" s="11">
        <v>5.02</v>
      </c>
      <c r="E32" s="12">
        <v>83.3</v>
      </c>
      <c r="F32" s="12">
        <v>95.9</v>
      </c>
      <c r="G32" s="34">
        <v>25030471</v>
      </c>
      <c r="J32" s="23" t="s">
        <v>843</v>
      </c>
      <c r="K32" s="14">
        <v>509.2</v>
      </c>
      <c r="L32" s="24">
        <v>25030471</v>
      </c>
    </row>
    <row r="33" ht="16.5" spans="1:12">
      <c r="A33" s="39" t="s">
        <v>844</v>
      </c>
      <c r="B33" s="9">
        <v>484.8</v>
      </c>
      <c r="C33" s="10">
        <v>205.2</v>
      </c>
      <c r="D33" s="11">
        <v>5.19</v>
      </c>
      <c r="E33" s="12">
        <v>84.3</v>
      </c>
      <c r="F33" s="12">
        <v>96.2</v>
      </c>
      <c r="G33" s="34">
        <v>25030472</v>
      </c>
      <c r="J33" s="23" t="s">
        <v>844</v>
      </c>
      <c r="K33" s="14">
        <v>484.8</v>
      </c>
      <c r="L33" s="24">
        <v>25030472</v>
      </c>
    </row>
    <row r="34" ht="16.5" spans="1:12">
      <c r="A34" s="39" t="s">
        <v>845</v>
      </c>
      <c r="B34" s="9">
        <v>511.4</v>
      </c>
      <c r="C34" s="10">
        <v>239.3</v>
      </c>
      <c r="D34" s="11">
        <v>4.66</v>
      </c>
      <c r="E34" s="12">
        <v>90</v>
      </c>
      <c r="F34" s="12">
        <v>98.7</v>
      </c>
      <c r="G34" s="34">
        <v>25030447</v>
      </c>
      <c r="J34" s="23" t="s">
        <v>845</v>
      </c>
      <c r="K34" s="14">
        <v>511.4</v>
      </c>
      <c r="L34" s="24">
        <v>25030447</v>
      </c>
    </row>
    <row r="35" ht="16.5" spans="1:12">
      <c r="A35" s="39" t="s">
        <v>846</v>
      </c>
      <c r="B35" s="9">
        <v>788.2</v>
      </c>
      <c r="C35" s="10">
        <v>254.5</v>
      </c>
      <c r="D35" s="11">
        <v>5.38</v>
      </c>
      <c r="E35" s="12">
        <v>92.8</v>
      </c>
      <c r="F35" s="12">
        <v>99.6</v>
      </c>
      <c r="G35" s="34">
        <v>25030371</v>
      </c>
      <c r="J35" s="23" t="s">
        <v>846</v>
      </c>
      <c r="K35" s="14">
        <v>788.2</v>
      </c>
      <c r="L35" s="24">
        <v>25030371</v>
      </c>
    </row>
    <row r="36" ht="16.5" spans="1:12">
      <c r="A36" s="39" t="s">
        <v>847</v>
      </c>
      <c r="B36" s="9">
        <v>449.4</v>
      </c>
      <c r="C36" s="10">
        <v>202.8</v>
      </c>
      <c r="D36" s="11">
        <v>4.77</v>
      </c>
      <c r="E36" s="12">
        <v>87.8</v>
      </c>
      <c r="F36" s="12">
        <v>98.2</v>
      </c>
      <c r="G36" s="34">
        <v>25030451</v>
      </c>
      <c r="J36" s="23" t="s">
        <v>847</v>
      </c>
      <c r="K36" s="14">
        <v>449.4</v>
      </c>
      <c r="L36" s="24">
        <v>25030451</v>
      </c>
    </row>
    <row r="37" ht="16.5" spans="1:12">
      <c r="A37" s="39" t="s">
        <v>848</v>
      </c>
      <c r="B37" s="9">
        <v>328.2</v>
      </c>
      <c r="C37" s="10">
        <v>189.3</v>
      </c>
      <c r="D37" s="11">
        <v>3.91</v>
      </c>
      <c r="E37" s="12">
        <v>88.5</v>
      </c>
      <c r="F37" s="12">
        <v>98.3</v>
      </c>
      <c r="G37" s="34">
        <v>25030431</v>
      </c>
      <c r="J37" s="23" t="s">
        <v>848</v>
      </c>
      <c r="K37" s="14">
        <v>328.2</v>
      </c>
      <c r="L37" s="24">
        <v>25030431</v>
      </c>
    </row>
    <row r="38" ht="16.5" spans="1:12">
      <c r="A38" s="39" t="s">
        <v>849</v>
      </c>
      <c r="B38" s="9">
        <v>342.8</v>
      </c>
      <c r="C38" s="10">
        <v>212.7</v>
      </c>
      <c r="D38" s="11">
        <v>5.11</v>
      </c>
      <c r="E38" s="12">
        <v>80.8</v>
      </c>
      <c r="F38" s="12">
        <v>95.1</v>
      </c>
      <c r="G38" s="34">
        <v>25030436</v>
      </c>
      <c r="J38" s="23" t="s">
        <v>849</v>
      </c>
      <c r="K38" s="14">
        <v>342.8</v>
      </c>
      <c r="L38" s="24">
        <v>25030436</v>
      </c>
    </row>
    <row r="39" ht="16.5" spans="1:12">
      <c r="A39" s="39" t="s">
        <v>850</v>
      </c>
      <c r="B39" s="9">
        <v>520</v>
      </c>
      <c r="C39" s="10">
        <v>204.7</v>
      </c>
      <c r="D39" s="11">
        <v>4.63</v>
      </c>
      <c r="E39" s="12">
        <v>83.4</v>
      </c>
      <c r="F39" s="12">
        <v>96.1</v>
      </c>
      <c r="G39" s="34">
        <v>25030434</v>
      </c>
      <c r="J39" s="23" t="s">
        <v>850</v>
      </c>
      <c r="K39" s="14">
        <v>520</v>
      </c>
      <c r="L39" s="24">
        <v>25030434</v>
      </c>
    </row>
    <row r="59" ht="16.5" spans="1:12">
      <c r="A59" s="39" t="s">
        <v>818</v>
      </c>
      <c r="B59" s="9">
        <v>304.2</v>
      </c>
      <c r="C59" s="34">
        <v>25030415</v>
      </c>
      <c r="J59" s="39" t="s">
        <v>819</v>
      </c>
      <c r="K59" s="9">
        <v>809.2</v>
      </c>
      <c r="L59" s="34">
        <v>25030432</v>
      </c>
    </row>
    <row r="60" ht="16.5" spans="1:12">
      <c r="A60" s="39" t="s">
        <v>820</v>
      </c>
      <c r="B60" s="9">
        <v>790.8</v>
      </c>
      <c r="C60" s="34">
        <v>25030416</v>
      </c>
      <c r="J60" s="39" t="s">
        <v>821</v>
      </c>
      <c r="K60" s="9">
        <v>454.6</v>
      </c>
      <c r="L60" s="34">
        <v>25030394</v>
      </c>
    </row>
    <row r="61" ht="16.5" spans="1:12">
      <c r="A61" s="39" t="s">
        <v>822</v>
      </c>
      <c r="B61" s="9">
        <v>713.6</v>
      </c>
      <c r="C61" s="34">
        <v>25030417</v>
      </c>
      <c r="J61" s="39" t="s">
        <v>823</v>
      </c>
      <c r="K61" s="9">
        <v>180</v>
      </c>
      <c r="L61" s="34">
        <v>25030395</v>
      </c>
    </row>
    <row r="62" ht="16.5" spans="1:12">
      <c r="A62" s="39" t="s">
        <v>824</v>
      </c>
      <c r="B62" s="9">
        <v>347.8</v>
      </c>
      <c r="C62" s="34">
        <v>25030418</v>
      </c>
      <c r="J62" s="39" t="s">
        <v>851</v>
      </c>
      <c r="K62" s="9">
        <v>234.6</v>
      </c>
      <c r="L62" s="34">
        <v>25030396</v>
      </c>
    </row>
    <row r="63" ht="16.5" spans="1:12">
      <c r="A63" s="39" t="s">
        <v>826</v>
      </c>
      <c r="B63" s="9">
        <v>495.6</v>
      </c>
      <c r="C63" s="34">
        <v>25030427</v>
      </c>
      <c r="J63" s="39" t="s">
        <v>825</v>
      </c>
      <c r="K63" s="9">
        <v>524.6</v>
      </c>
      <c r="L63" s="34">
        <v>25030397</v>
      </c>
    </row>
    <row r="64" ht="16.5" spans="1:12">
      <c r="A64" s="39" t="s">
        <v>828</v>
      </c>
      <c r="B64" s="9">
        <v>504.8</v>
      </c>
      <c r="C64" s="34">
        <v>25030411</v>
      </c>
      <c r="J64" s="39" t="s">
        <v>827</v>
      </c>
      <c r="K64" s="9">
        <v>477.2</v>
      </c>
      <c r="L64" s="34">
        <v>25030393</v>
      </c>
    </row>
    <row r="65" ht="16.5" spans="1:12">
      <c r="A65" s="39" t="s">
        <v>830</v>
      </c>
      <c r="B65" s="9">
        <v>504.6</v>
      </c>
      <c r="C65" s="34">
        <v>25030413</v>
      </c>
      <c r="J65" s="39" t="s">
        <v>829</v>
      </c>
      <c r="K65" s="9">
        <v>512.8</v>
      </c>
      <c r="L65" s="34">
        <v>25030376</v>
      </c>
    </row>
    <row r="66" ht="16.5" spans="1:12">
      <c r="A66" s="39" t="s">
        <v>832</v>
      </c>
      <c r="B66" s="9">
        <v>318.8</v>
      </c>
      <c r="C66" s="34">
        <v>25030414</v>
      </c>
      <c r="J66" s="39" t="s">
        <v>831</v>
      </c>
      <c r="K66" s="9">
        <v>169.6</v>
      </c>
      <c r="L66" s="34">
        <v>25030378</v>
      </c>
    </row>
    <row r="67" ht="16.5" spans="1:12">
      <c r="A67" s="39" t="s">
        <v>834</v>
      </c>
      <c r="B67" s="9">
        <v>521</v>
      </c>
      <c r="C67" s="34">
        <v>25030340</v>
      </c>
      <c r="J67" s="39" t="s">
        <v>833</v>
      </c>
      <c r="K67" s="9">
        <v>502.8</v>
      </c>
      <c r="L67" s="34">
        <v>25030354</v>
      </c>
    </row>
    <row r="68" ht="16.5" spans="1:12">
      <c r="A68" s="39" t="s">
        <v>836</v>
      </c>
      <c r="B68" s="9">
        <v>494.6</v>
      </c>
      <c r="C68" s="34">
        <v>25030426</v>
      </c>
      <c r="J68" s="39" t="s">
        <v>835</v>
      </c>
      <c r="K68" s="9">
        <v>510.6</v>
      </c>
      <c r="L68" s="34">
        <v>25030468</v>
      </c>
    </row>
    <row r="69" ht="16.5" spans="1:12">
      <c r="J69" s="39" t="s">
        <v>852</v>
      </c>
      <c r="K69" s="9">
        <v>493.6</v>
      </c>
      <c r="L69" s="34">
        <v>25020330</v>
      </c>
    </row>
    <row r="70" ht="16.5" spans="1:12">
      <c r="J70" s="39" t="s">
        <v>837</v>
      </c>
      <c r="K70" s="9">
        <v>243.2</v>
      </c>
      <c r="L70" s="9">
        <v>25030412</v>
      </c>
    </row>
  </sheetData>
  <conditionalFormatting sqref="A1:A2">
    <cfRule type="duplicateValues" dxfId="0" priority="4"/>
  </conditionalFormatting>
  <conditionalFormatting sqref="A28:A29">
    <cfRule type="duplicateValues" dxfId="0" priority="1"/>
  </conditionalFormatting>
  <conditionalFormatting sqref="J1:J2">
    <cfRule type="duplicateValues" dxfId="0" priority="3"/>
  </conditionalFormatting>
  <dataValidations count="1">
    <dataValidation allowBlank="1" showInputMessage="1" showErrorMessage="1" sqref="B59:B68 K30:K39 K59:K70 B30:C39 B3:C12 K3:L15"/>
  </dataValidations>
  <pageMargins left="0.75" right="0.75" top="1" bottom="1" header="0.5" footer="0.5"/>
  <pageSetup paperSize="9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M1" sqref="M$1:Q$1048576"/>
    </sheetView>
  </sheetViews>
  <sheetFormatPr defaultColWidth="9" defaultRowHeight="13.5" outlineLevelCol="7"/>
  <cols>
    <col min="1" max="1" width="15.625" customWidth="1"/>
  </cols>
  <sheetData>
    <row r="1" ht="16.5" spans="1:8">
      <c r="A1" s="116">
        <v>404</v>
      </c>
      <c r="B1" s="2">
        <f>SUM(B3:B23)</f>
        <v>3602.6</v>
      </c>
      <c r="C1" s="3" cm="1">
        <f t="array" ref="C1">SUMPRODUCT(C3:C23*B3:B23)/B1</f>
        <v>177.114056514739</v>
      </c>
      <c r="D1" s="4" cm="1">
        <f t="array" ref="D1">SUMPRODUCT(B3:B23*D3:D23)/B1</f>
        <v>3.95009160051074</v>
      </c>
      <c r="E1" s="3" cm="1">
        <f t="array" ref="E1">SUMPRODUCT(B3:B23*E3:E23)/B1</f>
        <v>79.5541164714373</v>
      </c>
      <c r="F1" s="3" cm="1">
        <f t="array" ref="F1">SUMPRODUCT(B3:B23*F3:F23)/B1</f>
        <v>94.5223782823516</v>
      </c>
      <c r="G1" s="3" cm="1">
        <f t="array" ref="G1">SUMPRODUCT(B3:B23*G3:G23)/B1</f>
        <v>11.2944540054405</v>
      </c>
    </row>
    <row r="2" ht="16.5" spans="1: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ht="16.5" spans="1:8">
      <c r="A3" s="39" t="s">
        <v>853</v>
      </c>
      <c r="B3" s="9">
        <v>489.4</v>
      </c>
      <c r="C3" s="10">
        <v>208.5</v>
      </c>
      <c r="D3" s="11">
        <v>3.97</v>
      </c>
      <c r="E3" s="12">
        <v>89</v>
      </c>
      <c r="F3" s="12">
        <v>98.4</v>
      </c>
      <c r="G3" s="11">
        <v>11.25</v>
      </c>
      <c r="H3" s="24">
        <v>25030428</v>
      </c>
    </row>
    <row r="4" ht="16.5" spans="1:8">
      <c r="A4" s="39" t="s">
        <v>854</v>
      </c>
      <c r="B4" s="9">
        <v>374.6</v>
      </c>
      <c r="C4" s="10">
        <v>212.3</v>
      </c>
      <c r="D4" s="11">
        <v>3.97</v>
      </c>
      <c r="E4" s="12">
        <v>89.1</v>
      </c>
      <c r="F4" s="12">
        <v>98.5</v>
      </c>
      <c r="G4" s="11">
        <v>11.37</v>
      </c>
      <c r="H4" s="24">
        <v>25030429</v>
      </c>
    </row>
    <row r="5" ht="16.5" spans="1:8">
      <c r="A5" s="39" t="s">
        <v>855</v>
      </c>
      <c r="B5" s="9">
        <v>303.2</v>
      </c>
      <c r="C5" s="10">
        <v>192.4</v>
      </c>
      <c r="D5" s="11">
        <v>3.89</v>
      </c>
      <c r="E5" s="12">
        <v>88.4</v>
      </c>
      <c r="F5" s="12">
        <v>98.2</v>
      </c>
      <c r="G5" s="11">
        <v>11.55</v>
      </c>
      <c r="H5" s="24">
        <v>25030430</v>
      </c>
    </row>
    <row r="6" ht="16.5" spans="1:8">
      <c r="A6" s="39" t="s">
        <v>856</v>
      </c>
      <c r="B6" s="9">
        <v>479.2</v>
      </c>
      <c r="C6" s="10">
        <v>190.8</v>
      </c>
      <c r="D6" s="11">
        <v>4.15</v>
      </c>
      <c r="E6" s="12">
        <v>87.1</v>
      </c>
      <c r="F6" s="12">
        <v>98</v>
      </c>
      <c r="G6" s="11">
        <v>10.91</v>
      </c>
      <c r="H6" s="24">
        <v>25030433</v>
      </c>
    </row>
    <row r="7" ht="16.5" spans="1:8">
      <c r="A7" s="39" t="s">
        <v>857</v>
      </c>
      <c r="B7" s="9">
        <v>219.4</v>
      </c>
      <c r="C7" s="10">
        <v>130.5</v>
      </c>
      <c r="D7" s="11">
        <v>3.46</v>
      </c>
      <c r="E7" s="12">
        <v>78.7</v>
      </c>
      <c r="F7" s="12">
        <v>95</v>
      </c>
      <c r="G7" s="11">
        <v>12.65</v>
      </c>
      <c r="H7" s="24">
        <v>25030462</v>
      </c>
    </row>
    <row r="8" ht="16.5" spans="1:8">
      <c r="A8" s="39" t="s">
        <v>858</v>
      </c>
      <c r="B8" s="9">
        <v>226.6</v>
      </c>
      <c r="C8" s="10">
        <v>175.4</v>
      </c>
      <c r="D8" s="11">
        <v>4.46</v>
      </c>
      <c r="E8" s="12">
        <v>75.5</v>
      </c>
      <c r="F8" s="12">
        <v>92.4</v>
      </c>
      <c r="G8" s="11">
        <v>10.21</v>
      </c>
      <c r="H8" s="24">
        <v>25030358</v>
      </c>
    </row>
    <row r="9" ht="16.5" spans="1:8">
      <c r="A9" s="39" t="s">
        <v>859</v>
      </c>
      <c r="B9" s="9">
        <v>231.4</v>
      </c>
      <c r="C9" s="10">
        <v>148</v>
      </c>
      <c r="D9" s="11">
        <v>3.82</v>
      </c>
      <c r="E9" s="12">
        <v>79.6</v>
      </c>
      <c r="F9" s="12">
        <v>95.1</v>
      </c>
      <c r="G9" s="11">
        <v>11.34</v>
      </c>
      <c r="H9" s="24">
        <v>25030359</v>
      </c>
    </row>
    <row r="10" ht="16.5" spans="1:8">
      <c r="A10" s="39" t="s">
        <v>860</v>
      </c>
      <c r="B10" s="9">
        <v>245.6</v>
      </c>
      <c r="C10" s="10">
        <v>146.5</v>
      </c>
      <c r="D10" s="11">
        <v>3.77</v>
      </c>
      <c r="E10" s="12">
        <v>64.4</v>
      </c>
      <c r="F10" s="12">
        <v>88</v>
      </c>
      <c r="G10" s="11">
        <v>10.69</v>
      </c>
      <c r="H10" s="24">
        <v>25020225</v>
      </c>
    </row>
    <row r="11" ht="16.5" spans="1:8">
      <c r="A11" s="39" t="s">
        <v>861</v>
      </c>
      <c r="B11" s="9">
        <v>507.2</v>
      </c>
      <c r="C11" s="10">
        <v>166.7</v>
      </c>
      <c r="D11" s="11">
        <v>4.06</v>
      </c>
      <c r="E11" s="12">
        <v>54.2</v>
      </c>
      <c r="F11" s="12">
        <v>82.7</v>
      </c>
      <c r="G11" s="11">
        <v>11.2</v>
      </c>
      <c r="H11" s="24">
        <v>25010526</v>
      </c>
    </row>
    <row r="12" ht="16.5" spans="1:8">
      <c r="A12" s="39" t="s">
        <v>862</v>
      </c>
      <c r="B12" s="9">
        <v>526</v>
      </c>
      <c r="C12" s="10">
        <v>158.9</v>
      </c>
      <c r="D12" s="11">
        <v>3.79</v>
      </c>
      <c r="E12" s="12">
        <v>85.6</v>
      </c>
      <c r="F12" s="12">
        <v>97.7</v>
      </c>
      <c r="G12" s="11">
        <v>11.74</v>
      </c>
      <c r="H12" s="24">
        <v>25030380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2"/>
  </dataValidations>
  <pageMargins left="0.75" right="0.75" top="1" bottom="1" header="0.5" footer="0.5"/>
  <pageSetup paperSize="9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opLeftCell="A2" workbookViewId="0">
      <selection activeCell="I28" sqref="I28"/>
    </sheetView>
  </sheetViews>
  <sheetFormatPr defaultColWidth="9" defaultRowHeight="13.5"/>
  <cols>
    <col min="1" max="1" width="15.625" customWidth="1"/>
    <col min="10" max="10" width="15.625" customWidth="1"/>
    <col min="17" max="17" width="9.375"/>
  </cols>
  <sheetData>
    <row r="1" ht="16.5" spans="1:18">
      <c r="A1" s="116">
        <v>405</v>
      </c>
      <c r="B1" s="2">
        <f>SUM(B3:B23)</f>
        <v>4987.8</v>
      </c>
      <c r="C1" s="3" cm="1">
        <f t="array" ref="C1">SUMPRODUCT(C3:C23*B3:B23)/B1</f>
        <v>178.948795059946</v>
      </c>
      <c r="D1" s="4" cm="1">
        <f t="array" ref="D1">SUMPRODUCT(B3:B23*D3:D23)/B1</f>
        <v>4.01675327799832</v>
      </c>
      <c r="E1" s="3" cm="1">
        <f t="array" ref="E1">SUMPRODUCT(B3:B23*E3:E23)/B1</f>
        <v>79.2741248646698</v>
      </c>
      <c r="F1" s="3" cm="1">
        <f t="array" ref="F1">SUMPRODUCT(B3:B23*F3:F23)/B1</f>
        <v>94.2417418501143</v>
      </c>
      <c r="G1" s="3" cm="1">
        <f t="array" ref="G1">SUMPRODUCT(B3:B23*G3:G23)/B1</f>
        <v>11.4500509242552</v>
      </c>
      <c r="J1" s="116">
        <v>405</v>
      </c>
      <c r="K1" s="2">
        <f>SUM(K3:K23)</f>
        <v>5082.2</v>
      </c>
      <c r="L1" s="3" cm="1">
        <f t="array" ref="L1">SUMPRODUCT(L3:L23*K3:K23)/K1</f>
        <v>177.961268741883</v>
      </c>
      <c r="M1" s="4" cm="1">
        <f t="array" ref="M1">SUMPRODUCT(K3:K23*M3:M23)/K1</f>
        <v>3.9850985793554</v>
      </c>
      <c r="N1" s="3" cm="1">
        <f t="array" ref="N1">SUMPRODUCT(K3:K23*N3:N23)/K1</f>
        <v>78.909161386801</v>
      </c>
      <c r="O1" s="3" cm="1">
        <f t="array" ref="O1">SUMPRODUCT(K3:K23*O3:O23)/K1</f>
        <v>93.5544921490693</v>
      </c>
      <c r="P1" s="3" cm="1">
        <f t="array" ref="P1">SUMPRODUCT(K3:K23*P3:P23)/K1</f>
        <v>10.0197048522293</v>
      </c>
    </row>
    <row r="2" ht="16.5" spans="1:1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J2" s="6">
        <v>160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  <c r="P2" s="6" t="s">
        <v>5</v>
      </c>
      <c r="Q2" s="70"/>
    </row>
    <row r="3" ht="16.5" spans="1:18">
      <c r="A3" s="23" t="s">
        <v>863</v>
      </c>
      <c r="B3" s="14">
        <v>402.6</v>
      </c>
      <c r="C3" s="15">
        <v>264</v>
      </c>
      <c r="D3" s="16">
        <v>5.11</v>
      </c>
      <c r="E3" s="17">
        <v>86.4</v>
      </c>
      <c r="F3" s="17">
        <v>95.8</v>
      </c>
      <c r="G3" s="16">
        <v>11.02</v>
      </c>
      <c r="H3" s="14">
        <v>25010269</v>
      </c>
      <c r="J3" s="23" t="s">
        <v>864</v>
      </c>
      <c r="K3" s="14">
        <v>524.8</v>
      </c>
      <c r="L3" s="15">
        <v>278.7</v>
      </c>
      <c r="M3" s="16">
        <v>5.22</v>
      </c>
      <c r="N3" s="17">
        <v>90.5</v>
      </c>
      <c r="O3" s="17">
        <v>97.9</v>
      </c>
      <c r="P3" s="16">
        <v>11.87</v>
      </c>
      <c r="Q3" s="85">
        <v>25010040</v>
      </c>
    </row>
    <row r="4" ht="16.5" spans="1:18">
      <c r="A4" s="23" t="s">
        <v>865</v>
      </c>
      <c r="B4" s="14">
        <v>0</v>
      </c>
      <c r="C4" s="15">
        <v>115.9</v>
      </c>
      <c r="D4" s="16">
        <v>2.99</v>
      </c>
      <c r="E4" s="17">
        <v>59.1</v>
      </c>
      <c r="F4" s="17">
        <v>79.8</v>
      </c>
      <c r="G4" s="16">
        <v>11.07</v>
      </c>
      <c r="H4" s="14">
        <v>25020115</v>
      </c>
      <c r="I4" t="s">
        <v>866</v>
      </c>
      <c r="J4" s="23" t="s">
        <v>867</v>
      </c>
      <c r="K4" s="14">
        <v>300.6</v>
      </c>
      <c r="L4" s="15">
        <v>91.3</v>
      </c>
      <c r="M4" s="16">
        <v>2.48</v>
      </c>
      <c r="N4" s="17">
        <v>51.4</v>
      </c>
      <c r="O4" s="17">
        <v>77.1</v>
      </c>
      <c r="P4" s="16">
        <v>9.6</v>
      </c>
      <c r="Q4" s="85">
        <v>25010226</v>
      </c>
    </row>
    <row r="5" ht="16.5" spans="1:18">
      <c r="A5" s="23" t="s">
        <v>868</v>
      </c>
      <c r="B5" s="14">
        <v>362.2</v>
      </c>
      <c r="C5" s="15">
        <v>173.6</v>
      </c>
      <c r="D5" s="16">
        <v>5.08</v>
      </c>
      <c r="E5" s="17">
        <v>71.3</v>
      </c>
      <c r="F5" s="17">
        <v>91.1</v>
      </c>
      <c r="G5" s="16">
        <v>11.26</v>
      </c>
      <c r="H5" s="14">
        <v>25020338</v>
      </c>
      <c r="J5" s="23" t="s">
        <v>869</v>
      </c>
      <c r="K5" s="14">
        <v>511.8</v>
      </c>
      <c r="L5" s="15">
        <v>274.3</v>
      </c>
      <c r="M5" s="16">
        <v>4.94</v>
      </c>
      <c r="N5" s="17">
        <v>92.1</v>
      </c>
      <c r="O5" s="17">
        <v>98.7</v>
      </c>
      <c r="P5" s="16">
        <v>10.91</v>
      </c>
      <c r="Q5" s="85">
        <v>25010292</v>
      </c>
    </row>
    <row r="6" ht="16.5" spans="1:18">
      <c r="A6" s="23" t="s">
        <v>870</v>
      </c>
      <c r="B6" s="14">
        <v>335.2</v>
      </c>
      <c r="C6" s="15">
        <v>263.5</v>
      </c>
      <c r="D6" s="16">
        <v>5.16</v>
      </c>
      <c r="E6" s="17">
        <v>87.3</v>
      </c>
      <c r="F6" s="17">
        <v>96.8</v>
      </c>
      <c r="G6" s="16">
        <v>11.85</v>
      </c>
      <c r="H6" s="14">
        <v>25030130</v>
      </c>
      <c r="J6" s="23" t="s">
        <v>644</v>
      </c>
      <c r="K6" s="14">
        <v>520.2</v>
      </c>
      <c r="L6" s="15">
        <v>93</v>
      </c>
      <c r="M6" s="16">
        <v>2.51</v>
      </c>
      <c r="N6" s="17">
        <v>69.5</v>
      </c>
      <c r="O6" s="17">
        <v>90.2</v>
      </c>
      <c r="P6" s="16">
        <v>10.81</v>
      </c>
      <c r="Q6" s="85">
        <v>25010374</v>
      </c>
    </row>
    <row r="7" ht="16.5" spans="1:18">
      <c r="A7" s="23" t="s">
        <v>871</v>
      </c>
      <c r="B7" s="14">
        <v>482.6</v>
      </c>
      <c r="C7" s="15">
        <v>225.3</v>
      </c>
      <c r="D7" s="16">
        <v>5.52</v>
      </c>
      <c r="E7" s="17">
        <v>82.4</v>
      </c>
      <c r="F7" s="17">
        <v>94.9</v>
      </c>
      <c r="G7" s="16">
        <v>11.65</v>
      </c>
      <c r="H7" s="14">
        <v>25030149</v>
      </c>
      <c r="J7" s="23" t="s">
        <v>872</v>
      </c>
      <c r="K7" s="14">
        <v>512.2</v>
      </c>
      <c r="L7" s="15">
        <v>178.6</v>
      </c>
      <c r="M7" s="16">
        <v>4.8</v>
      </c>
      <c r="N7" s="17">
        <v>71.2</v>
      </c>
      <c r="O7" s="17">
        <v>90.1</v>
      </c>
      <c r="P7" s="16">
        <v>11.71</v>
      </c>
      <c r="Q7" s="85">
        <v>25020108</v>
      </c>
    </row>
    <row r="8" ht="16.5" spans="1:18">
      <c r="A8" s="23" t="s">
        <v>873</v>
      </c>
      <c r="B8" s="14">
        <v>502.2</v>
      </c>
      <c r="C8" s="15">
        <v>89.1</v>
      </c>
      <c r="D8" s="16">
        <v>2.48</v>
      </c>
      <c r="E8" s="17">
        <v>72.1</v>
      </c>
      <c r="F8" s="17">
        <v>94.6</v>
      </c>
      <c r="G8" s="16">
        <v>10.91</v>
      </c>
      <c r="H8" s="14">
        <v>25030205</v>
      </c>
      <c r="J8" s="23" t="s">
        <v>874</v>
      </c>
      <c r="K8" s="14">
        <v>0</v>
      </c>
      <c r="L8" s="15">
        <v>219.4</v>
      </c>
      <c r="M8" s="16">
        <v>5.08</v>
      </c>
      <c r="N8" s="17">
        <v>86.4</v>
      </c>
      <c r="O8" s="17">
        <v>97.1</v>
      </c>
      <c r="P8" s="16">
        <v>11.73</v>
      </c>
      <c r="Q8" s="53">
        <v>25020157</v>
      </c>
      <c r="R8" t="s">
        <v>866</v>
      </c>
    </row>
    <row r="9" ht="16.5" spans="1:18">
      <c r="A9" s="23" t="s">
        <v>875</v>
      </c>
      <c r="B9" s="14">
        <v>0</v>
      </c>
      <c r="C9" s="15">
        <v>88</v>
      </c>
      <c r="D9" s="16">
        <v>2.44</v>
      </c>
      <c r="E9" s="17">
        <v>75.9</v>
      </c>
      <c r="F9" s="17">
        <v>96.9</v>
      </c>
      <c r="G9" s="16">
        <v>12.15</v>
      </c>
      <c r="H9" s="14">
        <v>25030235</v>
      </c>
      <c r="I9" t="s">
        <v>866</v>
      </c>
      <c r="J9" s="23" t="s">
        <v>876</v>
      </c>
      <c r="K9" s="14">
        <v>0</v>
      </c>
      <c r="L9" s="15">
        <v>118.7</v>
      </c>
      <c r="M9" s="16">
        <v>3.03</v>
      </c>
      <c r="N9" s="17">
        <v>64</v>
      </c>
      <c r="O9" s="17">
        <v>88.3</v>
      </c>
      <c r="P9" s="16">
        <v>11.87</v>
      </c>
      <c r="Q9" s="53">
        <v>25020284</v>
      </c>
      <c r="R9" t="s">
        <v>866</v>
      </c>
    </row>
    <row r="10" ht="16.5" spans="1:18">
      <c r="A10" s="23" t="s">
        <v>877</v>
      </c>
      <c r="B10" s="14">
        <v>792.2</v>
      </c>
      <c r="C10" s="15">
        <v>274</v>
      </c>
      <c r="D10" s="16">
        <v>4.63</v>
      </c>
      <c r="E10" s="17">
        <v>91.6</v>
      </c>
      <c r="F10" s="17">
        <v>98.6</v>
      </c>
      <c r="G10" s="16">
        <v>11.72</v>
      </c>
      <c r="H10" s="14">
        <v>25030261</v>
      </c>
      <c r="J10" s="23" t="s">
        <v>878</v>
      </c>
      <c r="K10" s="14">
        <v>774.8</v>
      </c>
      <c r="L10" s="15">
        <v>151.5</v>
      </c>
      <c r="M10" s="16">
        <v>3.89</v>
      </c>
      <c r="N10" s="17">
        <v>81</v>
      </c>
      <c r="O10" s="17">
        <v>95.6</v>
      </c>
      <c r="P10" s="16">
        <v>11.48</v>
      </c>
      <c r="Q10" s="85">
        <v>25030151</v>
      </c>
    </row>
    <row r="11" ht="16.5" spans="1:18">
      <c r="A11" s="23" t="s">
        <v>879</v>
      </c>
      <c r="B11" s="14">
        <v>531.6</v>
      </c>
      <c r="C11" s="15">
        <v>159.8</v>
      </c>
      <c r="D11" s="16">
        <v>4.29</v>
      </c>
      <c r="E11" s="17">
        <v>78.3</v>
      </c>
      <c r="F11" s="17">
        <v>94.3</v>
      </c>
      <c r="G11" s="16">
        <v>11.21</v>
      </c>
      <c r="H11" s="14">
        <v>25030456</v>
      </c>
      <c r="J11" s="23" t="s">
        <v>880</v>
      </c>
      <c r="K11" s="14">
        <v>345.2</v>
      </c>
      <c r="L11" s="15">
        <v>124</v>
      </c>
      <c r="M11" s="16">
        <v>2.99</v>
      </c>
      <c r="N11" s="17">
        <v>83.3</v>
      </c>
      <c r="O11" s="17">
        <v>98</v>
      </c>
      <c r="P11" s="16">
        <v>11.04</v>
      </c>
      <c r="Q11" s="85">
        <v>25030328</v>
      </c>
    </row>
    <row r="12" ht="16.5" spans="1:18">
      <c r="A12" s="23" t="s">
        <v>881</v>
      </c>
      <c r="B12" s="14">
        <v>534.2</v>
      </c>
      <c r="C12" s="15">
        <v>135.5</v>
      </c>
      <c r="D12" s="16">
        <v>3.55</v>
      </c>
      <c r="E12" s="17">
        <v>78.3</v>
      </c>
      <c r="F12" s="17">
        <v>94.7</v>
      </c>
      <c r="G12" s="16">
        <v>11.89</v>
      </c>
      <c r="H12" s="14">
        <v>25030459</v>
      </c>
      <c r="J12" s="23" t="s">
        <v>882</v>
      </c>
      <c r="K12" s="14">
        <v>311.4</v>
      </c>
      <c r="L12" s="15">
        <v>126.5</v>
      </c>
      <c r="M12" s="16">
        <v>3.03</v>
      </c>
      <c r="N12" s="17">
        <v>83.7</v>
      </c>
      <c r="O12" s="17">
        <v>97.4</v>
      </c>
      <c r="P12" s="16">
        <v>11.71</v>
      </c>
      <c r="Q12" s="85">
        <v>25030329</v>
      </c>
    </row>
    <row r="13" ht="16.5" spans="1:18">
      <c r="A13" s="23" t="s">
        <v>883</v>
      </c>
      <c r="B13" s="14">
        <v>519</v>
      </c>
      <c r="C13" s="15">
        <v>112.7</v>
      </c>
      <c r="D13" s="16">
        <v>2.64</v>
      </c>
      <c r="E13" s="17">
        <v>67.1</v>
      </c>
      <c r="F13" s="17">
        <v>87.5</v>
      </c>
      <c r="G13" s="16">
        <v>10.95</v>
      </c>
      <c r="H13" s="14">
        <v>25010230</v>
      </c>
      <c r="J13" s="23" t="s">
        <v>884</v>
      </c>
      <c r="K13" s="14">
        <v>0</v>
      </c>
      <c r="L13" s="15">
        <v>257.5</v>
      </c>
      <c r="M13" s="16">
        <v>5.11</v>
      </c>
      <c r="N13" s="17">
        <v>90.6</v>
      </c>
      <c r="O13" s="17">
        <v>98.3</v>
      </c>
      <c r="P13" s="16">
        <v>11.61</v>
      </c>
      <c r="Q13" s="53">
        <v>25030392</v>
      </c>
      <c r="R13" t="s">
        <v>866</v>
      </c>
    </row>
    <row r="14" ht="16.5" spans="1:18">
      <c r="A14" s="23" t="s">
        <v>885</v>
      </c>
      <c r="B14" s="14">
        <v>526</v>
      </c>
      <c r="C14" s="15">
        <v>92.6</v>
      </c>
      <c r="D14" s="16">
        <v>2.44</v>
      </c>
      <c r="E14" s="17">
        <v>73.6</v>
      </c>
      <c r="F14" s="17">
        <v>92.2</v>
      </c>
      <c r="G14" s="16">
        <v>11.87</v>
      </c>
      <c r="H14" s="14">
        <v>25010504</v>
      </c>
      <c r="J14" s="23" t="s">
        <v>886</v>
      </c>
      <c r="K14" s="14">
        <v>493.4</v>
      </c>
      <c r="L14" s="15">
        <v>122.4</v>
      </c>
      <c r="M14" s="16">
        <v>2.8</v>
      </c>
      <c r="N14" s="17">
        <v>64.9</v>
      </c>
      <c r="O14" s="17">
        <v>85.9</v>
      </c>
      <c r="P14" s="16">
        <v>10.45</v>
      </c>
      <c r="Q14" s="85">
        <v>25010228</v>
      </c>
    </row>
    <row r="15" ht="16.5" spans="1:18">
      <c r="J15" s="23" t="s">
        <v>887</v>
      </c>
      <c r="K15" s="14">
        <v>281</v>
      </c>
      <c r="L15" s="15">
        <v>282.1</v>
      </c>
      <c r="M15" s="16">
        <v>5.3</v>
      </c>
      <c r="N15" s="17">
        <v>91.1</v>
      </c>
      <c r="O15" s="17">
        <v>98.4</v>
      </c>
      <c r="P15" s="16">
        <v>11.01</v>
      </c>
      <c r="Q15" s="85">
        <v>24120075</v>
      </c>
    </row>
    <row r="16" ht="16.5" spans="1:18">
      <c r="J16" s="23" t="s">
        <v>888</v>
      </c>
      <c r="K16" s="14">
        <v>506.8</v>
      </c>
      <c r="L16" s="15">
        <v>219.5</v>
      </c>
      <c r="M16" s="16">
        <v>5.16</v>
      </c>
      <c r="N16" s="17">
        <v>85.1</v>
      </c>
      <c r="O16" s="17">
        <v>96.8</v>
      </c>
      <c r="Q16" s="53">
        <v>25020129</v>
      </c>
    </row>
    <row r="17" ht="16.5" spans="10:17">
      <c r="J17" s="23" t="s">
        <v>889</v>
      </c>
      <c r="K17" s="14">
        <v>0</v>
      </c>
      <c r="L17" s="15">
        <v>216.9</v>
      </c>
      <c r="M17" s="16">
        <v>5.2</v>
      </c>
      <c r="N17" s="17">
        <v>78.3</v>
      </c>
      <c r="O17" s="17">
        <v>94.2</v>
      </c>
      <c r="Q17" s="53">
        <v>25030266</v>
      </c>
    </row>
    <row r="18" spans="10:17">
      <c r="Q18" s="70"/>
    </row>
    <row r="19" spans="10:17">
      <c r="Q19" s="70"/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B3:C3 B14 B4:B12 C4:C14 K5:K8 K10:K13 K15:K17 L3:L17"/>
  </dataValidations>
  <pageMargins left="0.75" right="0.75" top="1" bottom="1" header="0.5" footer="0.5"/>
  <pageSetup paperSize="9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workbookViewId="0">
      <selection activeCell="I21" sqref="I21"/>
    </sheetView>
  </sheetViews>
  <sheetFormatPr defaultColWidth="9" defaultRowHeight="13.5"/>
  <cols>
    <col min="1" max="1" width="15.625" customWidth="1"/>
    <col min="7" max="7" width="9.375"/>
    <col min="11" max="11" width="15.625" customWidth="1"/>
    <col min="17" max="17" width="9.375"/>
  </cols>
  <sheetData>
    <row r="1" ht="16.5" spans="1:17">
      <c r="A1" s="116">
        <v>406</v>
      </c>
      <c r="B1" s="2">
        <f>SUM(B3:B23)</f>
        <v>5167.2</v>
      </c>
      <c r="C1" s="3" cm="1">
        <f t="array" ref="C1">SUMPRODUCT(C3:C23*B3:B23)/B1</f>
        <v>218.727732621149</v>
      </c>
      <c r="D1" s="4" cm="1">
        <f t="array" ref="D1">SUMPRODUCT(B3:B23*D3:D23)/B1</f>
        <v>4.98289634618362</v>
      </c>
      <c r="E1" s="3" cm="1">
        <f t="array" ref="E1">SUMPRODUCT(B3:B23*E3:E23)/B1</f>
        <v>83.6048149868401</v>
      </c>
      <c r="F1" s="3" cm="1">
        <f t="array" ref="F1">SUMPRODUCT(B3:B23*F3:F23)/B1</f>
        <v>96.0307864994581</v>
      </c>
      <c r="K1" s="116">
        <v>407</v>
      </c>
      <c r="L1" s="2">
        <f>SUM(L3:L23)</f>
        <v>5024</v>
      </c>
      <c r="M1" s="3" cm="1">
        <f t="array" ref="M1">SUMPRODUCT(M3:M23*L3:L23)/L1</f>
        <v>217.321441082803</v>
      </c>
      <c r="N1" s="4" cm="1">
        <f t="array" ref="N1">SUMPRODUCT(L3:L23*N3:N23)/L1</f>
        <v>4.95596894904459</v>
      </c>
      <c r="O1" s="3" cm="1">
        <f t="array" ref="O1">SUMPRODUCT(L3:L23*O3:O23)/L1</f>
        <v>83.0564331210191</v>
      </c>
      <c r="P1" s="3" cm="1">
        <f t="array" ref="P1">SUMPRODUCT(L3:L23*P3:P23)/L1</f>
        <v>95.6378065286624</v>
      </c>
    </row>
    <row r="2" ht="16.5" spans="1:1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K2" s="6">
        <v>200</v>
      </c>
      <c r="L2" s="6" t="s">
        <v>0</v>
      </c>
      <c r="M2" s="6" t="s">
        <v>1</v>
      </c>
      <c r="N2" s="6" t="s">
        <v>2</v>
      </c>
      <c r="O2" s="6" t="s">
        <v>3</v>
      </c>
      <c r="P2" s="6" t="s">
        <v>4</v>
      </c>
    </row>
    <row r="3" ht="16.5" spans="1:17">
      <c r="A3" s="39" t="s">
        <v>890</v>
      </c>
      <c r="B3" s="9">
        <v>209.6</v>
      </c>
      <c r="C3" s="10">
        <v>226</v>
      </c>
      <c r="D3" s="11">
        <v>6.03</v>
      </c>
      <c r="E3" s="12">
        <v>72.8</v>
      </c>
      <c r="F3" s="12">
        <v>91.2</v>
      </c>
      <c r="G3" s="9">
        <v>25010394</v>
      </c>
      <c r="K3" s="39" t="s">
        <v>891</v>
      </c>
      <c r="L3" s="9">
        <v>535.4</v>
      </c>
      <c r="M3" s="10">
        <v>247.6</v>
      </c>
      <c r="N3" s="11">
        <v>4.86</v>
      </c>
      <c r="O3" s="12">
        <v>91.7</v>
      </c>
      <c r="P3" s="12">
        <v>98.7</v>
      </c>
      <c r="Q3" s="9">
        <v>25010319</v>
      </c>
    </row>
    <row r="4" ht="16.5" spans="1:17">
      <c r="A4" s="39" t="s">
        <v>892</v>
      </c>
      <c r="B4" s="9">
        <v>481.2</v>
      </c>
      <c r="C4" s="10">
        <v>217.7</v>
      </c>
      <c r="D4" s="11">
        <v>5.22</v>
      </c>
      <c r="E4" s="12">
        <v>84.9</v>
      </c>
      <c r="F4" s="12">
        <v>96.7</v>
      </c>
      <c r="G4" s="9">
        <v>25020130</v>
      </c>
      <c r="K4" s="75" t="s">
        <v>893</v>
      </c>
      <c r="L4" s="9">
        <v>0</v>
      </c>
      <c r="M4" s="10">
        <v>203.3</v>
      </c>
      <c r="N4" s="11">
        <v>5.05</v>
      </c>
      <c r="O4" s="12">
        <v>75.8</v>
      </c>
      <c r="P4" s="12">
        <v>92.3</v>
      </c>
      <c r="Q4" s="9">
        <v>25020132</v>
      </c>
    </row>
    <row r="5" ht="16.5" spans="1:17">
      <c r="A5" s="39" t="s">
        <v>894</v>
      </c>
      <c r="B5" s="9">
        <v>506.4</v>
      </c>
      <c r="C5" s="10">
        <v>218.2</v>
      </c>
      <c r="D5" s="11">
        <v>5.24</v>
      </c>
      <c r="E5" s="12">
        <v>87.3</v>
      </c>
      <c r="F5" s="12">
        <v>97.7</v>
      </c>
      <c r="G5" s="9">
        <v>25020189</v>
      </c>
      <c r="K5" s="39" t="s">
        <v>895</v>
      </c>
      <c r="L5" s="9">
        <v>500</v>
      </c>
      <c r="M5" s="10">
        <v>245.7</v>
      </c>
      <c r="N5" s="11">
        <v>4.72</v>
      </c>
      <c r="O5" s="12">
        <v>87.6</v>
      </c>
      <c r="P5" s="12">
        <v>97.2</v>
      </c>
      <c r="Q5" s="9">
        <v>25020156</v>
      </c>
    </row>
    <row r="6" ht="16.5" spans="1:17">
      <c r="A6" s="39" t="s">
        <v>896</v>
      </c>
      <c r="B6" s="9">
        <v>507.4</v>
      </c>
      <c r="C6" s="10">
        <v>200.7</v>
      </c>
      <c r="D6" s="11">
        <v>6.16</v>
      </c>
      <c r="E6" s="12">
        <v>66.4</v>
      </c>
      <c r="F6" s="12">
        <v>88.3</v>
      </c>
      <c r="G6" s="9">
        <v>25020336</v>
      </c>
      <c r="K6" s="75" t="s">
        <v>897</v>
      </c>
      <c r="L6" s="9">
        <v>0</v>
      </c>
      <c r="M6" s="10">
        <v>217.8</v>
      </c>
      <c r="N6" s="11">
        <v>5.27</v>
      </c>
      <c r="O6" s="12">
        <v>87.3</v>
      </c>
      <c r="P6" s="12">
        <v>97.8</v>
      </c>
      <c r="Q6" s="9">
        <v>25020190</v>
      </c>
    </row>
    <row r="7" ht="16.5" spans="1:17">
      <c r="A7" s="39" t="s">
        <v>898</v>
      </c>
      <c r="B7" s="9">
        <v>517.2</v>
      </c>
      <c r="C7" s="10">
        <v>150.7</v>
      </c>
      <c r="D7" s="11">
        <v>3.58</v>
      </c>
      <c r="E7" s="12">
        <v>77.9</v>
      </c>
      <c r="F7" s="12">
        <v>94.6</v>
      </c>
      <c r="G7" s="9">
        <v>25030324</v>
      </c>
      <c r="K7" s="39" t="s">
        <v>899</v>
      </c>
      <c r="L7" s="9">
        <v>517.4</v>
      </c>
      <c r="M7" s="10">
        <v>235.2</v>
      </c>
      <c r="N7" s="11">
        <v>6.03</v>
      </c>
      <c r="O7" s="12">
        <v>75.5</v>
      </c>
      <c r="P7" s="12">
        <v>91.9</v>
      </c>
      <c r="Q7" s="9">
        <v>25020275</v>
      </c>
    </row>
    <row r="8" ht="16.5" spans="1:17">
      <c r="A8" s="39" t="s">
        <v>900</v>
      </c>
      <c r="B8" s="9">
        <v>352</v>
      </c>
      <c r="C8" s="10">
        <v>247.7</v>
      </c>
      <c r="D8" s="11">
        <v>4.69</v>
      </c>
      <c r="E8" s="12">
        <v>89.9</v>
      </c>
      <c r="F8" s="12">
        <v>98.2</v>
      </c>
      <c r="G8" s="9">
        <v>25030352</v>
      </c>
      <c r="K8" s="39" t="s">
        <v>901</v>
      </c>
      <c r="L8" s="9">
        <v>484.2</v>
      </c>
      <c r="M8" s="10">
        <v>218.4</v>
      </c>
      <c r="N8" s="11">
        <v>5.66</v>
      </c>
      <c r="O8" s="12">
        <v>70.8</v>
      </c>
      <c r="P8" s="12">
        <v>90</v>
      </c>
      <c r="Q8" s="9">
        <v>25020278</v>
      </c>
    </row>
    <row r="9" ht="16.5" spans="1:17">
      <c r="A9" s="39" t="s">
        <v>902</v>
      </c>
      <c r="B9" s="9">
        <v>523.6</v>
      </c>
      <c r="C9" s="10">
        <v>247.8</v>
      </c>
      <c r="D9" s="11">
        <v>4.49</v>
      </c>
      <c r="E9" s="12">
        <v>91.4</v>
      </c>
      <c r="F9" s="12">
        <v>99.4</v>
      </c>
      <c r="G9" s="9">
        <v>25030409</v>
      </c>
      <c r="K9" s="39" t="s">
        <v>903</v>
      </c>
      <c r="L9" s="9">
        <v>519.2</v>
      </c>
      <c r="M9" s="10">
        <v>150.5</v>
      </c>
      <c r="N9" s="11">
        <v>3.97</v>
      </c>
      <c r="O9" s="12">
        <v>76.3</v>
      </c>
      <c r="P9" s="12">
        <v>94.1</v>
      </c>
      <c r="Q9" s="9">
        <v>25030323</v>
      </c>
    </row>
    <row r="10" ht="16.5" spans="1:17">
      <c r="A10" s="39" t="s">
        <v>904</v>
      </c>
      <c r="B10" s="9">
        <v>248.2</v>
      </c>
      <c r="C10" s="10">
        <v>219.4</v>
      </c>
      <c r="D10" s="11">
        <v>4.72</v>
      </c>
      <c r="E10" s="12">
        <v>89</v>
      </c>
      <c r="F10" s="12">
        <v>98.5</v>
      </c>
      <c r="G10" s="9">
        <v>25030449</v>
      </c>
      <c r="K10" s="39" t="s">
        <v>905</v>
      </c>
      <c r="L10" s="9">
        <v>427.8</v>
      </c>
      <c r="M10" s="10">
        <v>186.9</v>
      </c>
      <c r="N10" s="11">
        <v>4.8</v>
      </c>
      <c r="O10" s="12">
        <v>77.1</v>
      </c>
      <c r="P10" s="12">
        <v>94</v>
      </c>
      <c r="Q10" s="9">
        <v>25030341</v>
      </c>
    </row>
    <row r="11" ht="16.5" spans="1:17">
      <c r="A11" s="75" t="s">
        <v>906</v>
      </c>
      <c r="B11" s="9">
        <v>0</v>
      </c>
      <c r="C11" s="10">
        <v>222.3</v>
      </c>
      <c r="D11" s="11">
        <v>4.52</v>
      </c>
      <c r="E11" s="12">
        <v>90.4</v>
      </c>
      <c r="F11" s="12">
        <v>98.9</v>
      </c>
      <c r="G11" s="9">
        <v>25030487</v>
      </c>
      <c r="K11" s="75" t="s">
        <v>907</v>
      </c>
      <c r="L11" s="9">
        <v>0</v>
      </c>
      <c r="M11" s="10">
        <v>232.2</v>
      </c>
      <c r="N11" s="11">
        <v>4.61</v>
      </c>
      <c r="O11" s="12">
        <v>91</v>
      </c>
      <c r="P11" s="12">
        <v>98.9</v>
      </c>
      <c r="Q11" s="9">
        <v>25040039</v>
      </c>
    </row>
    <row r="12" ht="16.5" spans="1:17">
      <c r="A12" s="39" t="s">
        <v>908</v>
      </c>
      <c r="B12" s="9">
        <v>322.8</v>
      </c>
      <c r="C12" s="10">
        <v>217.7</v>
      </c>
      <c r="D12" s="11">
        <v>4.89</v>
      </c>
      <c r="E12" s="12">
        <v>85</v>
      </c>
      <c r="F12" s="12">
        <v>96.9</v>
      </c>
      <c r="G12" s="9">
        <v>25040022</v>
      </c>
      <c r="K12" s="39" t="s">
        <v>909</v>
      </c>
      <c r="L12" s="9">
        <v>510.2</v>
      </c>
      <c r="M12" s="10">
        <v>218.2</v>
      </c>
      <c r="N12" s="11">
        <v>4.61</v>
      </c>
      <c r="O12" s="12">
        <v>90.4</v>
      </c>
      <c r="P12" s="12">
        <v>99.1</v>
      </c>
      <c r="Q12" s="9">
        <v>25040053</v>
      </c>
    </row>
    <row r="13" ht="16.5" spans="1:17">
      <c r="A13" s="39" t="s">
        <v>910</v>
      </c>
      <c r="B13" s="9">
        <v>513.4</v>
      </c>
      <c r="C13" s="10">
        <v>224.7</v>
      </c>
      <c r="D13" s="11">
        <v>5.33</v>
      </c>
      <c r="E13" s="12">
        <v>87.3</v>
      </c>
      <c r="F13" s="12">
        <v>97.5</v>
      </c>
      <c r="G13" s="9">
        <v>25040077</v>
      </c>
      <c r="K13" s="115" t="s">
        <v>911</v>
      </c>
      <c r="L13" s="109">
        <v>511.4</v>
      </c>
      <c r="M13" s="111">
        <v>209.6</v>
      </c>
      <c r="N13" s="112">
        <v>4.8</v>
      </c>
      <c r="O13" s="113">
        <v>88.8</v>
      </c>
      <c r="P13" s="113">
        <v>98</v>
      </c>
      <c r="Q13" s="24">
        <v>25020040</v>
      </c>
    </row>
    <row r="14" ht="16.5" spans="1:17">
      <c r="A14" s="75" t="s">
        <v>839</v>
      </c>
      <c r="B14" s="9">
        <v>0</v>
      </c>
      <c r="C14" s="10">
        <v>239.3</v>
      </c>
      <c r="D14" s="11">
        <v>5.02</v>
      </c>
      <c r="E14" s="12">
        <v>89.8</v>
      </c>
      <c r="F14" s="12">
        <v>98.1</v>
      </c>
      <c r="G14" s="9">
        <v>25030064</v>
      </c>
      <c r="K14" s="23" t="s">
        <v>912</v>
      </c>
      <c r="L14" s="24">
        <v>506.2</v>
      </c>
      <c r="M14" s="15">
        <v>209.8</v>
      </c>
      <c r="N14" s="16">
        <v>4.77</v>
      </c>
      <c r="O14" s="17">
        <v>88.5</v>
      </c>
      <c r="P14" s="17">
        <v>97.8</v>
      </c>
      <c r="Q14" s="24">
        <v>25020100</v>
      </c>
    </row>
    <row r="15" ht="16.5" spans="1:17">
      <c r="A15" s="39" t="s">
        <v>913</v>
      </c>
      <c r="B15" s="9">
        <v>496.2</v>
      </c>
      <c r="C15" s="10">
        <v>227.3</v>
      </c>
      <c r="D15" s="11">
        <v>4.2</v>
      </c>
      <c r="E15" s="12">
        <v>91.1</v>
      </c>
      <c r="F15" s="12">
        <v>98.9</v>
      </c>
      <c r="G15" s="9">
        <v>25040145</v>
      </c>
      <c r="K15" s="23" t="s">
        <v>914</v>
      </c>
      <c r="L15" s="14">
        <v>512.2</v>
      </c>
      <c r="M15" s="15">
        <v>246.3</v>
      </c>
      <c r="N15" s="16">
        <v>5.35</v>
      </c>
      <c r="O15" s="17">
        <v>82.2</v>
      </c>
      <c r="P15" s="17">
        <v>95</v>
      </c>
      <c r="Q15" s="24">
        <v>25020331</v>
      </c>
    </row>
    <row r="16" ht="16.5" spans="1:17">
      <c r="A16" s="39" t="s">
        <v>915</v>
      </c>
      <c r="B16" s="9">
        <v>489.2</v>
      </c>
      <c r="C16" s="10">
        <v>241.2</v>
      </c>
      <c r="D16" s="11">
        <v>5.66</v>
      </c>
      <c r="E16" s="12">
        <v>79</v>
      </c>
      <c r="F16" s="12">
        <v>93.8</v>
      </c>
      <c r="G16" s="9">
        <v>25020332</v>
      </c>
      <c r="K16" s="23"/>
      <c r="L16" s="14"/>
      <c r="M16" s="15"/>
      <c r="N16" s="16"/>
      <c r="O16" s="17"/>
      <c r="P16" s="17"/>
      <c r="Q16" s="14"/>
    </row>
    <row r="17" ht="16.5" spans="1:17">
      <c r="A17" s="115"/>
      <c r="B17" s="109"/>
      <c r="C17" s="111"/>
      <c r="D17" s="112"/>
      <c r="E17" s="113"/>
      <c r="F17" s="113"/>
    </row>
    <row r="27" ht="16.5" spans="1:17">
      <c r="A27" s="116">
        <v>408</v>
      </c>
      <c r="B27" s="2">
        <f>SUM(B29:B48)</f>
        <v>5133.6</v>
      </c>
      <c r="C27" s="3" cm="1">
        <f t="array" ref="C27">SUMPRODUCT(C29:C48*B29:B48)/B27</f>
        <v>237.109630668537</v>
      </c>
      <c r="D27" s="4" cm="1">
        <f t="array" ref="D27">SUMPRODUCT(B29:B48*D29:D48)/B27</f>
        <v>4.99507597007948</v>
      </c>
      <c r="E27" s="3" cm="1">
        <f t="array" ref="E27">SUMPRODUCT(B29:B48*E29:E48)/B27</f>
        <v>80.9960963066854</v>
      </c>
      <c r="F27" s="3" cm="1">
        <f t="array" ref="F27">SUMPRODUCT(B29:B48*F29:F48)/B27</f>
        <v>94.3197678042699</v>
      </c>
      <c r="K27" s="116">
        <v>409</v>
      </c>
      <c r="L27" s="2">
        <f>SUM(L29:L48)</f>
        <v>5021.2</v>
      </c>
      <c r="M27" s="3" cm="1">
        <f t="array" ref="M27">SUMPRODUCT(M29:M48*L29:L48)/L27</f>
        <v>238.523117979766</v>
      </c>
      <c r="N27" s="4" cm="1">
        <f t="array" ref="N27">SUMPRODUCT(L29:L48*N29:N48)/L27</f>
        <v>4.96013423086115</v>
      </c>
      <c r="O27" s="3" cm="1">
        <f t="array" ref="O27">SUMPRODUCT(L29:L48*O29:O48)/L27</f>
        <v>82.8714410897793</v>
      </c>
      <c r="P27" s="3" cm="1">
        <f t="array" ref="P27">SUMPRODUCT(L29:L48*P29:P48)/L27</f>
        <v>95.3374372659922</v>
      </c>
    </row>
    <row r="28" ht="16.5" spans="1:17">
      <c r="A28" s="6">
        <v>220</v>
      </c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K28" s="6">
        <v>220</v>
      </c>
      <c r="L28" s="6" t="s">
        <v>0</v>
      </c>
      <c r="M28" s="6" t="s">
        <v>1</v>
      </c>
      <c r="N28" s="6" t="s">
        <v>2</v>
      </c>
      <c r="O28" s="6" t="s">
        <v>3</v>
      </c>
      <c r="P28" s="6" t="s">
        <v>4</v>
      </c>
    </row>
    <row r="29" ht="16.5" spans="1:17">
      <c r="A29" s="23" t="s">
        <v>916</v>
      </c>
      <c r="B29" s="14">
        <v>475.8</v>
      </c>
      <c r="C29" s="15">
        <v>260</v>
      </c>
      <c r="D29" s="16">
        <v>5.13</v>
      </c>
      <c r="E29" s="17">
        <v>86.2</v>
      </c>
      <c r="F29" s="17">
        <v>95.8</v>
      </c>
      <c r="G29" s="14">
        <v>25010270</v>
      </c>
      <c r="K29" s="23" t="s">
        <v>917</v>
      </c>
      <c r="L29" s="14">
        <v>508.2</v>
      </c>
      <c r="M29" s="15">
        <v>256.9</v>
      </c>
      <c r="N29" s="16">
        <v>5.16</v>
      </c>
      <c r="O29" s="17">
        <v>83.2</v>
      </c>
      <c r="P29" s="17">
        <v>94.6</v>
      </c>
      <c r="Q29" s="14">
        <v>25010100</v>
      </c>
    </row>
    <row r="30" ht="16.5" spans="1:17">
      <c r="A30" s="23" t="s">
        <v>918</v>
      </c>
      <c r="B30" s="14">
        <v>240.2</v>
      </c>
      <c r="C30" s="15">
        <v>259.9</v>
      </c>
      <c r="D30" s="16">
        <v>5.11</v>
      </c>
      <c r="E30" s="17">
        <v>90.8</v>
      </c>
      <c r="F30" s="17">
        <v>98.4</v>
      </c>
      <c r="G30" s="14">
        <v>25010462</v>
      </c>
      <c r="K30" s="23" t="s">
        <v>919</v>
      </c>
      <c r="L30" s="14">
        <v>494.4</v>
      </c>
      <c r="M30" s="15">
        <v>257.2</v>
      </c>
      <c r="N30" s="16">
        <v>5.16</v>
      </c>
      <c r="O30" s="17">
        <v>83.3</v>
      </c>
      <c r="P30" s="17">
        <v>94.7</v>
      </c>
      <c r="Q30" s="14">
        <v>25010101</v>
      </c>
    </row>
    <row r="31" ht="16.5" spans="1:17">
      <c r="A31" s="23" t="s">
        <v>920</v>
      </c>
      <c r="B31" s="14">
        <v>340.8</v>
      </c>
      <c r="C31" s="15">
        <v>241.7</v>
      </c>
      <c r="D31" s="16">
        <v>5.19</v>
      </c>
      <c r="E31" s="17">
        <v>76.9</v>
      </c>
      <c r="F31" s="17">
        <v>92</v>
      </c>
      <c r="G31" s="14">
        <v>25010466</v>
      </c>
      <c r="K31" s="23" t="s">
        <v>921</v>
      </c>
      <c r="L31" s="14">
        <v>506.8</v>
      </c>
      <c r="M31" s="15">
        <v>260.4</v>
      </c>
      <c r="N31" s="16">
        <v>3.91</v>
      </c>
      <c r="O31" s="17">
        <v>90</v>
      </c>
      <c r="P31" s="17">
        <v>97.6</v>
      </c>
      <c r="Q31" s="14">
        <v>25020076</v>
      </c>
    </row>
    <row r="32" ht="16.5" spans="1:17">
      <c r="A32" s="23" t="s">
        <v>922</v>
      </c>
      <c r="B32" s="14">
        <v>483.2</v>
      </c>
      <c r="C32" s="15">
        <v>241.8</v>
      </c>
      <c r="D32" s="16">
        <v>5.27</v>
      </c>
      <c r="E32" s="17">
        <v>73.9</v>
      </c>
      <c r="F32" s="17">
        <v>90.2</v>
      </c>
      <c r="G32" s="14">
        <v>25010467</v>
      </c>
      <c r="K32" s="23" t="s">
        <v>923</v>
      </c>
      <c r="L32" s="14">
        <v>493.4</v>
      </c>
      <c r="M32" s="15">
        <v>235.2</v>
      </c>
      <c r="N32" s="16">
        <v>6.03</v>
      </c>
      <c r="O32" s="17">
        <v>76.1</v>
      </c>
      <c r="P32" s="17">
        <v>92.2</v>
      </c>
      <c r="Q32" s="14">
        <v>25020274</v>
      </c>
    </row>
    <row r="33" ht="16.5" spans="1:17">
      <c r="A33" s="23" t="s">
        <v>924</v>
      </c>
      <c r="B33" s="14">
        <v>483.4</v>
      </c>
      <c r="C33" s="15">
        <v>156.7</v>
      </c>
      <c r="D33" s="16">
        <v>3.99</v>
      </c>
      <c r="E33" s="17">
        <v>54.6</v>
      </c>
      <c r="F33" s="17">
        <v>83.2</v>
      </c>
      <c r="G33" s="14">
        <v>25010527</v>
      </c>
      <c r="K33" s="23" t="s">
        <v>925</v>
      </c>
      <c r="L33" s="14">
        <v>522.8</v>
      </c>
      <c r="M33" s="15">
        <v>202.8</v>
      </c>
      <c r="N33" s="16">
        <v>5.79</v>
      </c>
      <c r="O33" s="17">
        <v>68.5</v>
      </c>
      <c r="P33" s="17">
        <v>89.8</v>
      </c>
      <c r="Q33" s="14">
        <v>25020394</v>
      </c>
    </row>
    <row r="34" ht="16.5" spans="1:17">
      <c r="A34" s="23" t="s">
        <v>926</v>
      </c>
      <c r="B34" s="14">
        <v>491.6</v>
      </c>
      <c r="C34" s="15">
        <v>256.4</v>
      </c>
      <c r="D34" s="16">
        <v>4.43</v>
      </c>
      <c r="E34" s="17">
        <v>89.7</v>
      </c>
      <c r="F34" s="17">
        <v>98.1</v>
      </c>
      <c r="G34" s="14">
        <v>25010574</v>
      </c>
      <c r="K34" s="23" t="s">
        <v>927</v>
      </c>
      <c r="L34" s="14">
        <v>520.2</v>
      </c>
      <c r="M34" s="15">
        <v>190.6</v>
      </c>
      <c r="N34" s="16">
        <v>5.57</v>
      </c>
      <c r="O34" s="17">
        <v>68.5</v>
      </c>
      <c r="P34" s="17">
        <v>89.9</v>
      </c>
      <c r="Q34" s="14">
        <v>25020395</v>
      </c>
    </row>
    <row r="35" ht="16.5" spans="1:17">
      <c r="A35" s="23" t="s">
        <v>928</v>
      </c>
      <c r="B35" s="14">
        <v>533.4</v>
      </c>
      <c r="C35" s="15">
        <v>254.2</v>
      </c>
      <c r="D35" s="16">
        <v>5</v>
      </c>
      <c r="E35" s="17">
        <v>86.2</v>
      </c>
      <c r="F35" s="17">
        <v>96.6</v>
      </c>
      <c r="G35" s="14">
        <v>25020273</v>
      </c>
      <c r="K35" s="23" t="s">
        <v>929</v>
      </c>
      <c r="L35" s="14">
        <v>464.2</v>
      </c>
      <c r="M35" s="15">
        <v>259.3</v>
      </c>
      <c r="N35" s="16">
        <v>4.23</v>
      </c>
      <c r="O35" s="17">
        <v>87.2</v>
      </c>
      <c r="P35" s="17">
        <v>98.2</v>
      </c>
      <c r="Q35" s="14">
        <v>25030226</v>
      </c>
    </row>
    <row r="36" ht="16.5" spans="1:17">
      <c r="A36" s="23" t="s">
        <v>930</v>
      </c>
      <c r="B36" s="14">
        <v>504.4</v>
      </c>
      <c r="C36" s="15">
        <v>209.2</v>
      </c>
      <c r="D36" s="16">
        <v>5.87</v>
      </c>
      <c r="E36" s="17">
        <v>68.3</v>
      </c>
      <c r="F36" s="17">
        <v>89.6</v>
      </c>
      <c r="G36" s="14">
        <v>25020393</v>
      </c>
      <c r="K36" s="23" t="s">
        <v>931</v>
      </c>
      <c r="L36" s="14">
        <v>506.8</v>
      </c>
      <c r="M36" s="15">
        <v>239.7</v>
      </c>
      <c r="N36" s="16">
        <v>4.49</v>
      </c>
      <c r="O36" s="17">
        <v>90.2</v>
      </c>
      <c r="P36" s="17">
        <v>98.9</v>
      </c>
      <c r="Q36" s="14">
        <v>25030410</v>
      </c>
    </row>
    <row r="37" ht="16.5" spans="1:17">
      <c r="A37" s="121" t="s">
        <v>932</v>
      </c>
      <c r="B37" s="14">
        <v>0</v>
      </c>
      <c r="C37" s="15">
        <v>235.1</v>
      </c>
      <c r="D37" s="16">
        <v>5.49</v>
      </c>
      <c r="E37" s="17">
        <v>83.5</v>
      </c>
      <c r="F37" s="17">
        <v>96</v>
      </c>
      <c r="G37" s="14">
        <v>25020458</v>
      </c>
      <c r="K37" s="23" t="s">
        <v>933</v>
      </c>
      <c r="L37" s="14">
        <v>493.2</v>
      </c>
      <c r="M37" s="15">
        <v>244.2</v>
      </c>
      <c r="N37" s="16">
        <v>4.49</v>
      </c>
      <c r="O37" s="17">
        <v>91.5</v>
      </c>
      <c r="P37" s="17">
        <v>98.9</v>
      </c>
      <c r="Q37" s="14">
        <v>25040037</v>
      </c>
    </row>
    <row r="38" ht="16.5" spans="1:17">
      <c r="A38" s="23" t="s">
        <v>934</v>
      </c>
      <c r="B38" s="14">
        <v>509.2</v>
      </c>
      <c r="C38" s="15">
        <v>249.1</v>
      </c>
      <c r="D38" s="16">
        <v>4.49</v>
      </c>
      <c r="E38" s="17">
        <v>91.1</v>
      </c>
      <c r="F38" s="17">
        <v>99.3</v>
      </c>
      <c r="G38" s="14">
        <v>25030408</v>
      </c>
      <c r="K38" s="23" t="s">
        <v>935</v>
      </c>
      <c r="L38" s="14">
        <v>511.2</v>
      </c>
      <c r="M38" s="15">
        <v>243.5</v>
      </c>
      <c r="N38" s="16">
        <v>4.69</v>
      </c>
      <c r="O38" s="17">
        <v>91.4</v>
      </c>
      <c r="P38" s="17">
        <v>99.1</v>
      </c>
      <c r="Q38" s="14">
        <v>25040055</v>
      </c>
    </row>
    <row r="39" ht="16.5" spans="1:17">
      <c r="A39" s="23" t="s">
        <v>936</v>
      </c>
      <c r="B39" s="14">
        <v>533.2</v>
      </c>
      <c r="C39" s="15">
        <v>251.1</v>
      </c>
      <c r="D39" s="16">
        <v>4.89</v>
      </c>
      <c r="E39" s="17">
        <v>89.7</v>
      </c>
      <c r="F39" s="17">
        <v>98.3</v>
      </c>
      <c r="G39" s="14">
        <v>25040018</v>
      </c>
    </row>
    <row r="40" ht="16.5" spans="1:17">
      <c r="A40" s="23" t="s">
        <v>937</v>
      </c>
      <c r="B40" s="14">
        <v>538.4</v>
      </c>
      <c r="C40" s="15">
        <v>238.2</v>
      </c>
      <c r="D40" s="16">
        <v>5.63</v>
      </c>
      <c r="E40" s="17">
        <v>85.3</v>
      </c>
      <c r="F40" s="17">
        <v>96.4</v>
      </c>
      <c r="G40" s="14">
        <v>25020456</v>
      </c>
    </row>
  </sheetData>
  <conditionalFormatting sqref="A1:A2">
    <cfRule type="duplicateValues" dxfId="0" priority="4"/>
  </conditionalFormatting>
  <conditionalFormatting sqref="A27:A28">
    <cfRule type="duplicateValues" dxfId="0" priority="2"/>
  </conditionalFormatting>
  <conditionalFormatting sqref="K1:K2">
    <cfRule type="duplicateValues" dxfId="0" priority="3"/>
  </conditionalFormatting>
  <conditionalFormatting sqref="K27:K28">
    <cfRule type="duplicateValues" dxfId="0" priority="1"/>
  </conditionalFormatting>
  <dataValidations count="1">
    <dataValidation allowBlank="1" showInputMessage="1" showErrorMessage="1" sqref="M32 C35 M7:M8 B3:C17 L29:M31 L9:M16 B29:C34 B36:C40 L3:M6 L33:M38"/>
  </dataValidations>
  <pageMargins left="0.75" right="0.75" top="1" bottom="1" header="0.5" footer="0.5"/>
  <pageSetup paperSize="9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</cols>
  <sheetData>
    <row r="1" ht="16.5" spans="1:7">
      <c r="A1" s="116">
        <v>410</v>
      </c>
      <c r="B1" s="2">
        <f>SUM(B3:B23)</f>
        <v>1000.4</v>
      </c>
      <c r="C1" s="3" cm="1">
        <f t="array" ref="C1">SUMPRODUCT(C3:C23*B3:B23)/B1</f>
        <v>189.442203118752</v>
      </c>
      <c r="D1" s="4" cm="1">
        <f t="array" ref="D1">SUMPRODUCT(B3:B23*D3:D23)/B1</f>
        <v>4.4349400239904</v>
      </c>
      <c r="E1" s="3" cm="1">
        <f t="array" ref="E1">SUMPRODUCT(B3:B23*E3:E23)/B1</f>
        <v>83.0992802878849</v>
      </c>
      <c r="F1" s="3" cm="1">
        <f t="array" ref="F1">SUMPRODUCT(B3:B23*F3:F23)/B1</f>
        <v>95.9992802878848</v>
      </c>
    </row>
    <row r="2" ht="16.5" spans="1:7">
      <c r="A2" s="6">
        <v>180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0" t="s">
        <v>938</v>
      </c>
      <c r="B3" s="24">
        <v>501.4</v>
      </c>
      <c r="C3" s="28">
        <v>186.2</v>
      </c>
      <c r="D3" s="25">
        <v>4.41</v>
      </c>
      <c r="E3" s="29">
        <v>82.8</v>
      </c>
      <c r="F3" s="29">
        <v>95.7</v>
      </c>
      <c r="G3" s="24">
        <v>25040168</v>
      </c>
    </row>
    <row r="4" ht="16.5" spans="1:7">
      <c r="A4" s="30" t="s">
        <v>939</v>
      </c>
      <c r="B4" s="24">
        <v>499</v>
      </c>
      <c r="C4" s="28">
        <v>192.7</v>
      </c>
      <c r="D4" s="25">
        <v>4.46</v>
      </c>
      <c r="E4" s="29">
        <v>83.4</v>
      </c>
      <c r="F4" s="29">
        <v>96.3</v>
      </c>
      <c r="G4" s="24">
        <v>25040169</v>
      </c>
    </row>
    <row r="27" ht="16.5" spans="1:6">
      <c r="A27" s="116">
        <v>411</v>
      </c>
      <c r="B27" s="2">
        <f>SUM(B29:B49)</f>
        <v>2606.6</v>
      </c>
      <c r="C27" s="3" cm="1">
        <f t="array" ref="C27">SUMPRODUCT(C29:C49*B29:B49)/B27</f>
        <v>282.266983810328</v>
      </c>
      <c r="D27" s="4" cm="1">
        <f t="array" ref="D27">SUMPRODUCT(B29:B49*D29:D49)/B27</f>
        <v>5.10492212077035</v>
      </c>
      <c r="E27" s="3" cm="1">
        <f t="array" ref="E27">SUMPRODUCT(B29:B49*E29:E49)/B27</f>
        <v>89.3292795212154</v>
      </c>
      <c r="F27" s="3" cm="1">
        <f t="array" ref="F27">SUMPRODUCT(B29:B49*F29:F49)/B27</f>
        <v>97.921361160132</v>
      </c>
    </row>
    <row r="28" ht="16.5" spans="1:6">
      <c r="A28" s="6">
        <v>240</v>
      </c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</row>
    <row r="29" ht="16.5" spans="1:6">
      <c r="A29" s="23" t="s">
        <v>940</v>
      </c>
      <c r="B29" s="14">
        <v>500.4</v>
      </c>
      <c r="C29" s="15">
        <v>288.8</v>
      </c>
      <c r="D29" s="16">
        <v>5.46</v>
      </c>
      <c r="E29" s="17">
        <v>83</v>
      </c>
      <c r="F29" s="17">
        <v>96.7</v>
      </c>
    </row>
    <row r="30" ht="16.5" spans="1:6">
      <c r="A30" s="23" t="s">
        <v>941</v>
      </c>
      <c r="B30" s="14">
        <v>506</v>
      </c>
      <c r="C30" s="15">
        <v>288.8</v>
      </c>
      <c r="D30" s="16">
        <v>5.11</v>
      </c>
      <c r="E30" s="17">
        <v>90.3</v>
      </c>
      <c r="F30" s="17">
        <v>97.8</v>
      </c>
    </row>
    <row r="31" ht="16.5" spans="1:6">
      <c r="A31" s="23" t="s">
        <v>942</v>
      </c>
      <c r="B31" s="14">
        <v>249.8</v>
      </c>
      <c r="C31" s="15">
        <v>282.3</v>
      </c>
      <c r="D31" s="16">
        <v>4.82</v>
      </c>
      <c r="E31" s="17">
        <v>90.9</v>
      </c>
      <c r="F31" s="17">
        <v>98.2</v>
      </c>
    </row>
    <row r="32" ht="16.5" spans="1:6">
      <c r="A32" s="23" t="s">
        <v>943</v>
      </c>
      <c r="B32" s="14">
        <v>471.4</v>
      </c>
      <c r="C32" s="15">
        <v>281.9</v>
      </c>
      <c r="D32" s="16">
        <v>4.97</v>
      </c>
      <c r="E32" s="17">
        <v>91.6</v>
      </c>
      <c r="F32" s="17">
        <v>98.6</v>
      </c>
    </row>
    <row r="33" ht="16.5" spans="1:6">
      <c r="A33" s="23" t="s">
        <v>944</v>
      </c>
      <c r="B33" s="14">
        <v>497.6</v>
      </c>
      <c r="C33" s="15">
        <v>281.7</v>
      </c>
      <c r="D33" s="16">
        <v>4.91</v>
      </c>
      <c r="E33" s="17">
        <v>91.1</v>
      </c>
      <c r="F33" s="17">
        <v>98.2</v>
      </c>
    </row>
    <row r="34" ht="16.5" spans="1:6">
      <c r="A34" s="23" t="s">
        <v>945</v>
      </c>
      <c r="B34" s="14">
        <v>381.4</v>
      </c>
      <c r="C34" s="15">
        <v>266.2</v>
      </c>
      <c r="D34" s="16">
        <v>5.24</v>
      </c>
      <c r="E34" s="17">
        <v>90.2</v>
      </c>
      <c r="F34" s="17">
        <v>98.3</v>
      </c>
    </row>
  </sheetData>
  <conditionalFormatting sqref="A1:A2">
    <cfRule type="duplicateValues" dxfId="0" priority="2"/>
  </conditionalFormatting>
  <conditionalFormatting sqref="A27:A28">
    <cfRule type="duplicateValues" dxfId="0" priority="1"/>
  </conditionalFormatting>
  <dataValidations count="1">
    <dataValidation allowBlank="1" showInputMessage="1" showErrorMessage="1" sqref="C3:C4 B29:C34"/>
  </dataValidations>
  <pageMargins left="0.75" right="0.75" top="1" bottom="1" header="0.5" footer="0.5"/>
  <pageSetup paperSize="9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2"/>
  <sheetViews>
    <sheetView workbookViewId="0">
      <selection activeCell="K26" sqref="K26"/>
    </sheetView>
  </sheetViews>
  <sheetFormatPr defaultColWidth="9" defaultRowHeight="13.5"/>
  <cols>
    <col min="1" max="1" width="15.625" customWidth="1"/>
    <col min="7" max="7" width="9.375"/>
    <col min="9" max="9" width="15.625" customWidth="1"/>
    <col min="11" max="11" width="9.375"/>
    <col min="15" max="15" width="9.375"/>
    <col min="20" max="20" width="15.625" customWidth="1"/>
    <col min="26" max="26" width="9.375"/>
    <col min="28" max="28" width="15.625" customWidth="1"/>
  </cols>
  <sheetData>
    <row r="1" ht="16.5" spans="1:26">
      <c r="A1" s="116">
        <v>401</v>
      </c>
      <c r="B1" s="2">
        <f>SUM(B3:B23)</f>
        <v>5017</v>
      </c>
      <c r="C1" s="3" cm="1">
        <f t="array" ref="C1">SUMPRODUCT(C3:C23*B3:B23)/B1</f>
        <v>264.009950169424</v>
      </c>
      <c r="D1" s="4" cm="1">
        <f t="array" ref="D1">SUMPRODUCT(B3:B23*D3:D23)/B1</f>
        <v>4.94727127765597</v>
      </c>
      <c r="E1" s="3" cm="1">
        <f t="array" ref="E1">SUMPRODUCT(B3:B23*E3:E23)/B1</f>
        <v>85.2587522423759</v>
      </c>
      <c r="F1" s="3" cm="1">
        <f t="array" ref="F1">SUMPRODUCT(B3:B23*F3:F23)/B1</f>
        <v>95.7799681084313</v>
      </c>
      <c r="I1" s="116">
        <v>402</v>
      </c>
      <c r="J1" s="2">
        <f>SUM(J3:J23)</f>
        <v>5091.4</v>
      </c>
      <c r="K1" s="3" cm="1">
        <f t="array" ref="K1">SUMPRODUCT(K3:K23*J3:J23)/J1</f>
        <v>264.835632635424</v>
      </c>
      <c r="L1" s="4" cm="1">
        <f t="array" ref="L1">SUMPRODUCT(J3:J23*L3:L23)/J1</f>
        <v>4.93536198295164</v>
      </c>
      <c r="M1" s="3" cm="1">
        <f t="array" ref="M1">SUMPRODUCT(J3:J23*M3:M23)/J1</f>
        <v>86.7549946969399</v>
      </c>
      <c r="N1" s="3" cm="1">
        <f t="array" ref="N1">SUMPRODUCT(J3:J23*N3:N23)/J1</f>
        <v>96.4734532741485</v>
      </c>
      <c r="T1" s="116">
        <v>403</v>
      </c>
      <c r="U1" s="2">
        <f>SUM(U3:U23)</f>
        <v>4872.4</v>
      </c>
      <c r="V1" s="3" cm="1">
        <f t="array" ref="V1">SUMPRODUCT(V3:V23*U3:U23)/U1</f>
        <v>265.914928987768</v>
      </c>
      <c r="W1" s="4" cm="1">
        <f t="array" ref="W1">SUMPRODUCT(U3:U23*W3:W23)/U1</f>
        <v>4.94597816271242</v>
      </c>
      <c r="X1" s="3" cm="1">
        <f t="array" ref="X1">SUMPRODUCT(U3:U23*X3:X23)/U1</f>
        <v>82.8983745176915</v>
      </c>
      <c r="Y1" s="3" cm="1">
        <f t="array" ref="Y1">SUMPRODUCT(U3:U23*Y3:Y23)/U1</f>
        <v>94.5249610048436</v>
      </c>
    </row>
    <row r="2" ht="16.5" spans="1:26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I2" s="6">
        <v>240</v>
      </c>
      <c r="J2" s="6" t="s">
        <v>0</v>
      </c>
      <c r="K2" s="6" t="s">
        <v>1</v>
      </c>
      <c r="L2" s="6" t="s">
        <v>2</v>
      </c>
      <c r="M2" s="6" t="s">
        <v>3</v>
      </c>
      <c r="N2" s="6" t="s">
        <v>4</v>
      </c>
      <c r="O2" s="70"/>
      <c r="T2" s="6">
        <v>240</v>
      </c>
      <c r="U2" s="6" t="s">
        <v>0</v>
      </c>
      <c r="V2" s="6" t="s">
        <v>1</v>
      </c>
      <c r="W2" s="6" t="s">
        <v>2</v>
      </c>
      <c r="X2" s="6" t="s">
        <v>3</v>
      </c>
      <c r="Y2" s="6" t="s">
        <v>4</v>
      </c>
    </row>
    <row r="3" ht="16.5" spans="1:26">
      <c r="A3" s="39" t="s">
        <v>946</v>
      </c>
      <c r="B3" s="9">
        <v>537.4</v>
      </c>
      <c r="C3" s="10">
        <v>279.2</v>
      </c>
      <c r="D3" s="11">
        <v>5.16</v>
      </c>
      <c r="E3" s="12">
        <v>90.8</v>
      </c>
      <c r="F3" s="12">
        <v>98.2</v>
      </c>
      <c r="G3" s="67">
        <v>25010064</v>
      </c>
      <c r="I3" s="38" t="s">
        <v>947</v>
      </c>
      <c r="J3" s="34">
        <v>531</v>
      </c>
      <c r="K3" s="35">
        <v>273.7</v>
      </c>
      <c r="L3" s="36">
        <v>5.33</v>
      </c>
      <c r="M3" s="37">
        <v>91</v>
      </c>
      <c r="N3" s="37">
        <v>98.6</v>
      </c>
      <c r="O3" s="94">
        <v>25010068</v>
      </c>
      <c r="T3" s="39" t="s">
        <v>948</v>
      </c>
      <c r="U3" s="9">
        <v>491.4</v>
      </c>
      <c r="V3" s="10">
        <v>289.5</v>
      </c>
      <c r="W3" s="11">
        <v>5.08</v>
      </c>
      <c r="X3" s="12">
        <v>88.4</v>
      </c>
      <c r="Y3" s="12">
        <v>97.5</v>
      </c>
      <c r="Z3" s="9">
        <v>24120250</v>
      </c>
    </row>
    <row r="4" ht="16.5" spans="1:26">
      <c r="A4" s="39" t="s">
        <v>949</v>
      </c>
      <c r="B4" s="9">
        <v>524</v>
      </c>
      <c r="C4" s="10">
        <v>261.8</v>
      </c>
      <c r="D4" s="11">
        <v>4.91</v>
      </c>
      <c r="E4" s="12">
        <v>90.8</v>
      </c>
      <c r="F4" s="12">
        <v>98.4</v>
      </c>
      <c r="G4" s="67">
        <v>25010182</v>
      </c>
      <c r="I4" s="38" t="s">
        <v>950</v>
      </c>
      <c r="J4" s="34">
        <v>511.8</v>
      </c>
      <c r="K4" s="35">
        <v>223.2</v>
      </c>
      <c r="L4" s="36">
        <v>5.63</v>
      </c>
      <c r="M4" s="37">
        <v>65.8</v>
      </c>
      <c r="N4" s="37">
        <v>86.9</v>
      </c>
      <c r="O4" s="94">
        <v>25010078</v>
      </c>
      <c r="T4" s="39" t="s">
        <v>951</v>
      </c>
      <c r="U4" s="9">
        <v>510.8</v>
      </c>
      <c r="V4" s="10">
        <v>289.7</v>
      </c>
      <c r="W4" s="11">
        <v>4.86</v>
      </c>
      <c r="X4" s="12">
        <v>87.5</v>
      </c>
      <c r="Y4" s="12">
        <v>97.2</v>
      </c>
      <c r="Z4" s="9">
        <v>24120330</v>
      </c>
    </row>
    <row r="5" ht="16.5" spans="1:26">
      <c r="A5" s="39" t="s">
        <v>952</v>
      </c>
      <c r="B5" s="9">
        <v>518.4</v>
      </c>
      <c r="C5" s="10">
        <v>231.7</v>
      </c>
      <c r="D5" s="11">
        <v>5.79</v>
      </c>
      <c r="E5" s="12">
        <v>70.7</v>
      </c>
      <c r="F5" s="12">
        <v>89.9</v>
      </c>
      <c r="G5" s="67">
        <v>25020219</v>
      </c>
      <c r="I5" s="38" t="s">
        <v>953</v>
      </c>
      <c r="J5" s="34">
        <v>516</v>
      </c>
      <c r="K5" s="35">
        <v>276.7</v>
      </c>
      <c r="L5" s="36">
        <v>4.94</v>
      </c>
      <c r="M5" s="37">
        <v>90.3</v>
      </c>
      <c r="N5" s="37">
        <v>97.8</v>
      </c>
      <c r="O5" s="94">
        <v>25010262</v>
      </c>
      <c r="T5" s="39" t="s">
        <v>954</v>
      </c>
      <c r="U5" s="9">
        <v>0</v>
      </c>
      <c r="V5" s="10">
        <v>283.8</v>
      </c>
      <c r="W5" s="11">
        <v>5.19</v>
      </c>
      <c r="X5" s="12">
        <v>90.8</v>
      </c>
      <c r="Y5" s="12">
        <v>98</v>
      </c>
      <c r="Z5" s="9">
        <v>25010038</v>
      </c>
    </row>
    <row r="6" ht="16.5" spans="1:26">
      <c r="A6" s="39" t="s">
        <v>955</v>
      </c>
      <c r="B6" s="9">
        <v>237</v>
      </c>
      <c r="C6" s="10">
        <v>289.2</v>
      </c>
      <c r="D6" s="11">
        <v>4.91</v>
      </c>
      <c r="E6" s="12">
        <v>89.8</v>
      </c>
      <c r="F6" s="12">
        <v>98</v>
      </c>
      <c r="G6" s="67">
        <v>25030006</v>
      </c>
      <c r="I6" s="38" t="s">
        <v>926</v>
      </c>
      <c r="J6" s="34">
        <v>491.6</v>
      </c>
      <c r="K6" s="35">
        <v>256.4</v>
      </c>
      <c r="L6" s="36">
        <v>4.43</v>
      </c>
      <c r="M6" s="37">
        <v>89.7</v>
      </c>
      <c r="N6" s="37">
        <v>98.1</v>
      </c>
      <c r="O6" s="94">
        <v>25010574</v>
      </c>
      <c r="T6" s="39" t="s">
        <v>956</v>
      </c>
      <c r="U6" s="9">
        <v>0</v>
      </c>
      <c r="V6" s="10">
        <v>275.9</v>
      </c>
      <c r="W6" s="11">
        <v>5.16</v>
      </c>
      <c r="X6" s="12">
        <v>91.2</v>
      </c>
      <c r="Y6" s="12">
        <v>98.5</v>
      </c>
      <c r="Z6" s="9">
        <v>25010066</v>
      </c>
    </row>
    <row r="7" ht="16.5" spans="1:26">
      <c r="A7" s="39" t="s">
        <v>957</v>
      </c>
      <c r="B7" s="9">
        <v>507.6</v>
      </c>
      <c r="C7" s="10">
        <v>278.9</v>
      </c>
      <c r="D7" s="11">
        <v>4.77</v>
      </c>
      <c r="E7" s="12">
        <v>87.9</v>
      </c>
      <c r="F7" s="12">
        <v>96.9</v>
      </c>
      <c r="G7" s="67">
        <v>25010090</v>
      </c>
      <c r="I7" s="38" t="s">
        <v>958</v>
      </c>
      <c r="J7" s="34">
        <v>256.8</v>
      </c>
      <c r="K7" s="35">
        <v>277.6</v>
      </c>
      <c r="L7" s="36">
        <v>4.75</v>
      </c>
      <c r="M7" s="37">
        <v>90.5</v>
      </c>
      <c r="N7" s="37">
        <v>98.3</v>
      </c>
      <c r="O7" s="94">
        <v>25020148</v>
      </c>
      <c r="T7" s="39" t="s">
        <v>959</v>
      </c>
      <c r="U7" s="9">
        <v>0</v>
      </c>
      <c r="V7" s="10">
        <v>265.3</v>
      </c>
      <c r="W7" s="11">
        <v>5.05</v>
      </c>
      <c r="X7" s="12">
        <v>91</v>
      </c>
      <c r="Y7" s="12">
        <v>98.5</v>
      </c>
      <c r="Z7" s="9">
        <v>25010123</v>
      </c>
    </row>
    <row r="8" ht="16.5" spans="1:26">
      <c r="A8" s="39" t="s">
        <v>960</v>
      </c>
      <c r="B8" s="9">
        <v>402.6</v>
      </c>
      <c r="C8" s="10">
        <v>277.9</v>
      </c>
      <c r="D8" s="11">
        <v>4.75</v>
      </c>
      <c r="E8" s="12">
        <v>87.7</v>
      </c>
      <c r="F8" s="12">
        <v>96.7</v>
      </c>
      <c r="G8" s="67">
        <v>25010091</v>
      </c>
      <c r="I8" s="38" t="s">
        <v>928</v>
      </c>
      <c r="J8" s="34">
        <v>533.4</v>
      </c>
      <c r="K8" s="35">
        <v>254.2</v>
      </c>
      <c r="L8" s="36">
        <v>5</v>
      </c>
      <c r="M8" s="37">
        <v>86.2</v>
      </c>
      <c r="N8" s="37">
        <v>96.6</v>
      </c>
      <c r="O8" s="94">
        <v>25020273</v>
      </c>
      <c r="T8" s="39" t="s">
        <v>961</v>
      </c>
      <c r="U8" s="9">
        <v>510</v>
      </c>
      <c r="V8" s="10">
        <v>232.1</v>
      </c>
      <c r="W8" s="11">
        <v>5.63</v>
      </c>
      <c r="X8" s="12">
        <v>68</v>
      </c>
      <c r="Y8" s="12">
        <v>87</v>
      </c>
      <c r="Z8" s="9">
        <v>25010273</v>
      </c>
    </row>
    <row r="9" ht="16.5" spans="1:26">
      <c r="A9" s="39" t="s">
        <v>962</v>
      </c>
      <c r="B9" s="9">
        <v>525.4</v>
      </c>
      <c r="C9" s="10">
        <v>270.9</v>
      </c>
      <c r="D9" s="11">
        <v>4.8</v>
      </c>
      <c r="E9" s="12">
        <v>89.5</v>
      </c>
      <c r="F9" s="12">
        <v>97.5</v>
      </c>
      <c r="G9" s="67">
        <v>25010093</v>
      </c>
      <c r="I9" s="38" t="s">
        <v>963</v>
      </c>
      <c r="J9" s="34">
        <v>244.8</v>
      </c>
      <c r="K9" s="35">
        <v>276.7</v>
      </c>
      <c r="L9" s="36">
        <v>5.02</v>
      </c>
      <c r="M9" s="37">
        <v>82.4</v>
      </c>
      <c r="N9" s="37">
        <v>94.1</v>
      </c>
      <c r="O9" s="94">
        <v>25020289</v>
      </c>
      <c r="T9" s="39" t="s">
        <v>964</v>
      </c>
      <c r="U9" s="9">
        <v>236.4</v>
      </c>
      <c r="V9" s="10">
        <v>285.3</v>
      </c>
      <c r="W9" s="11">
        <v>4.66</v>
      </c>
      <c r="X9" s="12">
        <v>90.9</v>
      </c>
      <c r="Y9" s="12">
        <v>98.3</v>
      </c>
      <c r="Z9" s="9">
        <v>25010594</v>
      </c>
    </row>
    <row r="10" ht="16.5" spans="1:26">
      <c r="A10" s="39" t="s">
        <v>965</v>
      </c>
      <c r="B10" s="9">
        <v>203.4</v>
      </c>
      <c r="C10" s="10">
        <v>280.2</v>
      </c>
      <c r="D10" s="11">
        <v>4.75</v>
      </c>
      <c r="E10" s="12">
        <v>90.2</v>
      </c>
      <c r="F10" s="12">
        <v>97.9</v>
      </c>
      <c r="G10" s="67">
        <v>25020147</v>
      </c>
      <c r="I10" s="38" t="s">
        <v>966</v>
      </c>
      <c r="J10" s="34">
        <v>306.2</v>
      </c>
      <c r="K10" s="35">
        <v>269.8</v>
      </c>
      <c r="L10" s="36">
        <v>5.55</v>
      </c>
      <c r="M10" s="37">
        <v>90.2</v>
      </c>
      <c r="N10" s="37">
        <v>98</v>
      </c>
      <c r="O10" s="94">
        <v>25020468</v>
      </c>
      <c r="T10" s="39" t="s">
        <v>967</v>
      </c>
      <c r="U10" s="9">
        <v>463.8</v>
      </c>
      <c r="V10" s="10">
        <v>198.2</v>
      </c>
      <c r="W10" s="11">
        <v>4.91</v>
      </c>
      <c r="X10" s="12">
        <v>43.3</v>
      </c>
      <c r="Y10" s="12">
        <v>74.9</v>
      </c>
      <c r="Z10" s="9">
        <v>25020086</v>
      </c>
    </row>
    <row r="11" ht="16.5" spans="1:26">
      <c r="A11" s="39" t="s">
        <v>968</v>
      </c>
      <c r="B11" s="9">
        <v>512.6</v>
      </c>
      <c r="C11" s="10">
        <v>285.2</v>
      </c>
      <c r="D11" s="11">
        <v>4.82</v>
      </c>
      <c r="E11" s="12">
        <v>91.8</v>
      </c>
      <c r="F11" s="12">
        <v>98.9</v>
      </c>
      <c r="G11" s="67">
        <v>25020181</v>
      </c>
      <c r="I11" s="38" t="s">
        <v>969</v>
      </c>
      <c r="J11" s="34">
        <v>793.8</v>
      </c>
      <c r="K11" s="35">
        <v>286.6</v>
      </c>
      <c r="L11" s="36">
        <v>4.52</v>
      </c>
      <c r="M11" s="37">
        <v>92.7</v>
      </c>
      <c r="N11" s="37">
        <v>98.6</v>
      </c>
      <c r="O11" s="94">
        <v>25030348</v>
      </c>
      <c r="T11" s="39" t="s">
        <v>970</v>
      </c>
      <c r="U11" s="9">
        <v>0</v>
      </c>
      <c r="V11" s="10">
        <v>289.6</v>
      </c>
      <c r="W11" s="11">
        <v>4.91</v>
      </c>
      <c r="X11" s="12">
        <v>91.5</v>
      </c>
      <c r="Y11" s="12">
        <v>98</v>
      </c>
      <c r="Z11" s="9">
        <v>25020374</v>
      </c>
    </row>
    <row r="12" ht="16.5" spans="1:26">
      <c r="A12" s="39" t="s">
        <v>971</v>
      </c>
      <c r="B12" s="9">
        <v>541.8</v>
      </c>
      <c r="C12" s="10">
        <v>286.4</v>
      </c>
      <c r="D12" s="11">
        <v>4.77</v>
      </c>
      <c r="E12" s="12">
        <v>89.6</v>
      </c>
      <c r="F12" s="12">
        <v>97.5</v>
      </c>
      <c r="G12" s="67">
        <v>25020408</v>
      </c>
      <c r="I12" s="38" t="s">
        <v>972</v>
      </c>
      <c r="J12" s="34">
        <v>503.4</v>
      </c>
      <c r="K12" s="35">
        <v>288.2</v>
      </c>
      <c r="L12" s="36">
        <v>4.34</v>
      </c>
      <c r="M12" s="37">
        <v>91.8</v>
      </c>
      <c r="N12" s="37">
        <v>98.8</v>
      </c>
      <c r="O12" s="94">
        <v>25030407</v>
      </c>
      <c r="T12" s="39" t="s">
        <v>973</v>
      </c>
      <c r="U12" s="9">
        <v>178.8</v>
      </c>
      <c r="V12" s="10">
        <v>275.6</v>
      </c>
      <c r="W12" s="11">
        <v>4.77</v>
      </c>
      <c r="X12" s="12">
        <v>92</v>
      </c>
      <c r="Y12" s="12">
        <v>98.8</v>
      </c>
      <c r="Z12" s="9">
        <v>25030312</v>
      </c>
    </row>
    <row r="13" ht="16.5" spans="1:26">
      <c r="A13" s="39" t="s">
        <v>576</v>
      </c>
      <c r="B13" s="9">
        <v>506.8</v>
      </c>
      <c r="C13" s="10">
        <v>186.5</v>
      </c>
      <c r="D13" s="11">
        <v>4.8</v>
      </c>
      <c r="E13" s="12">
        <v>64.2</v>
      </c>
      <c r="F13" s="12">
        <v>86</v>
      </c>
      <c r="G13" s="67">
        <v>24120575</v>
      </c>
      <c r="I13" s="38" t="s">
        <v>974</v>
      </c>
      <c r="J13" s="34">
        <v>402.6</v>
      </c>
      <c r="K13" s="35">
        <v>224</v>
      </c>
      <c r="L13" s="36">
        <v>5.22</v>
      </c>
      <c r="M13" s="37">
        <v>80</v>
      </c>
      <c r="N13" s="37">
        <v>94</v>
      </c>
      <c r="O13" s="94">
        <v>25040209</v>
      </c>
      <c r="T13" s="39" t="s">
        <v>975</v>
      </c>
      <c r="U13" s="9">
        <v>493.2</v>
      </c>
      <c r="V13" s="10">
        <v>267.2</v>
      </c>
      <c r="W13" s="11">
        <v>4.29</v>
      </c>
      <c r="X13" s="12">
        <v>91.8</v>
      </c>
      <c r="Y13" s="12">
        <v>98.2</v>
      </c>
      <c r="Z13" s="9">
        <v>25040179</v>
      </c>
    </row>
    <row r="14" ht="16.5" spans="1:26">
      <c r="I14" s="179"/>
      <c r="J14" s="109"/>
      <c r="K14" s="111"/>
      <c r="L14" s="112"/>
      <c r="M14" s="113"/>
      <c r="N14" s="113"/>
      <c r="O14" s="180"/>
      <c r="T14" s="39" t="s">
        <v>976</v>
      </c>
      <c r="U14" s="9">
        <v>468.2</v>
      </c>
      <c r="V14" s="10">
        <v>277.1</v>
      </c>
      <c r="W14" s="11">
        <v>4.61</v>
      </c>
      <c r="X14" s="12">
        <v>91</v>
      </c>
      <c r="Y14" s="12">
        <v>98.2</v>
      </c>
      <c r="Z14" s="9">
        <v>25010456</v>
      </c>
    </row>
    <row r="15" ht="16.5" spans="1:26">
      <c r="I15" s="86"/>
      <c r="J15" s="14"/>
      <c r="K15" s="15"/>
      <c r="L15" s="16"/>
      <c r="M15" s="17"/>
      <c r="N15" s="17"/>
      <c r="O15" s="53"/>
      <c r="T15" s="23" t="s">
        <v>944</v>
      </c>
      <c r="U15" s="14">
        <v>497.6</v>
      </c>
      <c r="V15" s="15">
        <v>281.7</v>
      </c>
      <c r="W15" s="16">
        <v>4.91</v>
      </c>
      <c r="X15" s="17">
        <v>91.1</v>
      </c>
      <c r="Y15" s="17">
        <v>98.2</v>
      </c>
      <c r="Z15" s="24">
        <v>24120039</v>
      </c>
    </row>
    <row r="16" ht="16.5" spans="1:26">
      <c r="I16" s="86"/>
      <c r="J16" s="14"/>
      <c r="K16" s="15"/>
      <c r="L16" s="16"/>
      <c r="M16" s="17"/>
      <c r="N16" s="17"/>
      <c r="O16" s="53"/>
      <c r="T16" s="23" t="s">
        <v>977</v>
      </c>
      <c r="U16" s="14">
        <v>505.4</v>
      </c>
      <c r="V16" s="15">
        <v>272.3</v>
      </c>
      <c r="W16" s="16">
        <v>5.24</v>
      </c>
      <c r="X16" s="17">
        <v>86.7</v>
      </c>
      <c r="Y16" s="17">
        <v>97.5</v>
      </c>
      <c r="Z16" s="24">
        <v>24120306</v>
      </c>
    </row>
    <row r="17" ht="16.5" spans="1:30">
      <c r="O17" s="70"/>
      <c r="T17" s="23" t="s">
        <v>978</v>
      </c>
      <c r="U17" s="14">
        <v>516.8</v>
      </c>
      <c r="V17" s="15">
        <v>269.1</v>
      </c>
      <c r="W17" s="16">
        <v>5.13</v>
      </c>
      <c r="X17" s="17">
        <v>89.1</v>
      </c>
      <c r="Y17" s="17">
        <v>97.6</v>
      </c>
      <c r="Z17" s="24">
        <v>24120533</v>
      </c>
    </row>
    <row r="18" spans="1:30">
      <c r="O18" s="70"/>
    </row>
    <row r="19" spans="1:30">
      <c r="O19" s="70"/>
    </row>
    <row r="20" spans="1:30">
      <c r="O20" s="70"/>
    </row>
    <row r="27" ht="16.5" spans="1:30">
      <c r="A27" s="116">
        <v>401</v>
      </c>
      <c r="B27" s="2">
        <f>SUM(B29:B49)</f>
        <v>5149</v>
      </c>
      <c r="C27" s="3" cm="1">
        <f t="array" ref="C27">SUMPRODUCT(C29:C49*B29:B49)/B27</f>
        <v>265.162474266848</v>
      </c>
      <c r="D27" s="4" cm="1">
        <f t="array" ref="D27">SUMPRODUCT(B29:B49*D29:D49)/B27</f>
        <v>4.9557440279666</v>
      </c>
      <c r="E27" s="3" cm="1">
        <f t="array" ref="E27">SUMPRODUCT(B29:B49*E29:E49)/B27</f>
        <v>87.2452437366479</v>
      </c>
      <c r="F27" s="3" cm="1">
        <f t="array" ref="F27">SUMPRODUCT(B29:B49*F29:F49)/B27</f>
        <v>96.2435618566712</v>
      </c>
      <c r="I27" s="116">
        <v>402</v>
      </c>
      <c r="J27" s="2">
        <f>SUM(J29:J49)</f>
        <v>4978</v>
      </c>
      <c r="K27" s="3" cm="1">
        <f t="array" ref="K27">SUMPRODUCT(K29:K49*J29:J49)/J27</f>
        <v>264.984648453194</v>
      </c>
      <c r="L27" s="4" cm="1">
        <f t="array" ref="L27">SUMPRODUCT(J29:J49*L29:L49)/J27</f>
        <v>4.94420891924468</v>
      </c>
      <c r="M27" s="3" cm="1">
        <f t="array" ref="M27">SUMPRODUCT(J29:J49*M29:M49)/J27</f>
        <v>87.7174969867417</v>
      </c>
      <c r="N27" s="3" cm="1">
        <f t="array" ref="N27">SUMPRODUCT(J29:J49*N29:N49)/J27</f>
        <v>96.8865006026517</v>
      </c>
    </row>
    <row r="28" ht="16.5" spans="1:30">
      <c r="A28" s="6">
        <v>240</v>
      </c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I28" s="6">
        <v>240</v>
      </c>
      <c r="J28" s="6" t="s">
        <v>0</v>
      </c>
      <c r="K28" s="6" t="s">
        <v>1</v>
      </c>
      <c r="L28" s="6" t="s">
        <v>2</v>
      </c>
      <c r="M28" s="6" t="s">
        <v>3</v>
      </c>
      <c r="N28" s="6" t="s">
        <v>4</v>
      </c>
    </row>
    <row r="29" ht="16.5" spans="1:30">
      <c r="A29" s="39" t="s">
        <v>979</v>
      </c>
      <c r="B29" s="9">
        <v>409.4</v>
      </c>
      <c r="C29" s="10">
        <v>277.7</v>
      </c>
      <c r="D29" s="11">
        <v>5.66</v>
      </c>
      <c r="E29" s="12">
        <v>88.2</v>
      </c>
      <c r="F29" s="12">
        <v>97</v>
      </c>
      <c r="G29" s="9">
        <v>24120435</v>
      </c>
      <c r="I29" s="39" t="s">
        <v>980</v>
      </c>
      <c r="J29" s="9">
        <v>506.4</v>
      </c>
      <c r="K29" s="10">
        <v>285.1</v>
      </c>
      <c r="L29" s="11">
        <v>5.27</v>
      </c>
      <c r="M29" s="12">
        <v>90.6</v>
      </c>
      <c r="N29" s="12">
        <v>98.3</v>
      </c>
      <c r="O29" s="9">
        <v>24120074</v>
      </c>
      <c r="AB29" s="30" t="s">
        <v>981</v>
      </c>
      <c r="AC29" s="24">
        <v>508.6</v>
      </c>
      <c r="AD29" s="24">
        <v>25010382</v>
      </c>
    </row>
    <row r="30" ht="16.5" spans="1:30">
      <c r="A30" s="39" t="s">
        <v>982</v>
      </c>
      <c r="B30" s="9">
        <v>494.4</v>
      </c>
      <c r="C30" s="10">
        <v>172.4</v>
      </c>
      <c r="D30" s="11">
        <v>4.72</v>
      </c>
      <c r="E30" s="12">
        <v>52.2</v>
      </c>
      <c r="F30" s="12">
        <v>77.7</v>
      </c>
      <c r="G30" s="9">
        <v>24120610</v>
      </c>
      <c r="I30" s="39" t="s">
        <v>983</v>
      </c>
      <c r="J30" s="9">
        <v>519.2</v>
      </c>
      <c r="K30" s="10">
        <v>273.3</v>
      </c>
      <c r="L30" s="11">
        <v>5.68</v>
      </c>
      <c r="M30" s="12">
        <v>88.1</v>
      </c>
      <c r="N30" s="12">
        <v>97.8</v>
      </c>
      <c r="O30" s="9">
        <v>25010014</v>
      </c>
      <c r="AB30" s="30" t="s">
        <v>984</v>
      </c>
      <c r="AC30" s="24">
        <v>507.6</v>
      </c>
      <c r="AD30" s="24">
        <v>25010383</v>
      </c>
    </row>
    <row r="31" ht="16.5" spans="1:30">
      <c r="A31" s="39" t="s">
        <v>985</v>
      </c>
      <c r="B31" s="9">
        <v>524.2</v>
      </c>
      <c r="C31" s="10">
        <v>274.3</v>
      </c>
      <c r="D31" s="11">
        <v>5.19</v>
      </c>
      <c r="E31" s="12">
        <v>90.9</v>
      </c>
      <c r="F31" s="12">
        <v>98</v>
      </c>
      <c r="G31" s="9">
        <v>25010039</v>
      </c>
      <c r="I31" s="39" t="s">
        <v>986</v>
      </c>
      <c r="J31" s="9">
        <v>521</v>
      </c>
      <c r="K31" s="10">
        <v>272.7</v>
      </c>
      <c r="L31" s="11">
        <v>5.16</v>
      </c>
      <c r="M31" s="12">
        <v>90.7</v>
      </c>
      <c r="N31" s="12">
        <v>98.2</v>
      </c>
      <c r="O31" s="9">
        <v>25010065</v>
      </c>
    </row>
    <row r="32" ht="16.5" spans="1:30">
      <c r="A32" s="39" t="s">
        <v>987</v>
      </c>
      <c r="B32" s="9">
        <v>505.4</v>
      </c>
      <c r="C32" s="10">
        <v>279.3</v>
      </c>
      <c r="D32" s="11">
        <v>4.8</v>
      </c>
      <c r="E32" s="12">
        <v>88.2</v>
      </c>
      <c r="F32" s="12">
        <v>97.2</v>
      </c>
      <c r="G32" s="9">
        <v>25010116</v>
      </c>
      <c r="I32" s="39" t="s">
        <v>988</v>
      </c>
      <c r="J32" s="9">
        <v>518</v>
      </c>
      <c r="K32" s="10">
        <v>275.8</v>
      </c>
      <c r="L32" s="11">
        <v>5</v>
      </c>
      <c r="M32" s="12">
        <v>91.1</v>
      </c>
      <c r="N32" s="12">
        <v>98.4</v>
      </c>
      <c r="O32" s="9">
        <v>25010122</v>
      </c>
    </row>
    <row r="33" ht="16.5" spans="1:15">
      <c r="A33" s="39" t="s">
        <v>989</v>
      </c>
      <c r="B33" s="9">
        <v>537</v>
      </c>
      <c r="C33" s="10">
        <v>268.8</v>
      </c>
      <c r="D33" s="11">
        <v>4.89</v>
      </c>
      <c r="E33" s="12">
        <v>90.7</v>
      </c>
      <c r="F33" s="12">
        <v>98.3</v>
      </c>
      <c r="G33" s="9">
        <v>25010181</v>
      </c>
      <c r="I33" s="39" t="s">
        <v>990</v>
      </c>
      <c r="J33" s="9">
        <v>499.6</v>
      </c>
      <c r="K33" s="10">
        <v>273.2</v>
      </c>
      <c r="L33" s="11">
        <v>5.52</v>
      </c>
      <c r="M33" s="12">
        <v>89.9</v>
      </c>
      <c r="N33" s="12">
        <v>98.2</v>
      </c>
      <c r="O33" s="9">
        <v>25010234</v>
      </c>
    </row>
    <row r="34" ht="16.5" spans="1:15">
      <c r="A34" s="39" t="s">
        <v>991</v>
      </c>
      <c r="B34" s="9">
        <v>537</v>
      </c>
      <c r="C34" s="10">
        <v>273.9</v>
      </c>
      <c r="D34" s="11">
        <v>5.52</v>
      </c>
      <c r="E34" s="12">
        <v>89.6</v>
      </c>
      <c r="F34" s="12">
        <v>98</v>
      </c>
      <c r="G34" s="9">
        <v>25010233</v>
      </c>
      <c r="I34" s="39" t="s">
        <v>992</v>
      </c>
      <c r="J34" s="9">
        <v>342.2</v>
      </c>
      <c r="K34" s="10">
        <v>276.9</v>
      </c>
      <c r="L34" s="11">
        <v>4.55</v>
      </c>
      <c r="M34" s="12">
        <v>89.3</v>
      </c>
      <c r="N34" s="12">
        <v>97.3</v>
      </c>
      <c r="O34" s="9">
        <v>25020117</v>
      </c>
    </row>
    <row r="35" ht="16.5" spans="1:15">
      <c r="A35" s="39" t="s">
        <v>993</v>
      </c>
      <c r="B35" s="9">
        <v>501.2</v>
      </c>
      <c r="C35" s="10">
        <v>266.5</v>
      </c>
      <c r="D35" s="11">
        <v>5.38</v>
      </c>
      <c r="E35" s="12">
        <v>91.5</v>
      </c>
      <c r="F35" s="12">
        <v>98.3</v>
      </c>
      <c r="G35" s="9">
        <v>25020384</v>
      </c>
      <c r="I35" s="39" t="s">
        <v>994</v>
      </c>
      <c r="J35" s="9">
        <v>0</v>
      </c>
      <c r="K35" s="10">
        <v>172.4</v>
      </c>
      <c r="L35" s="11">
        <v>5.05</v>
      </c>
      <c r="M35" s="12">
        <v>50.4</v>
      </c>
      <c r="N35" s="12">
        <v>80.5</v>
      </c>
      <c r="O35" s="9">
        <v>25020280</v>
      </c>
    </row>
    <row r="36" ht="16.5" spans="1:15">
      <c r="A36" s="115" t="s">
        <v>995</v>
      </c>
      <c r="B36" s="109">
        <v>486.2</v>
      </c>
      <c r="C36" s="111">
        <v>273.8</v>
      </c>
      <c r="D36" s="112">
        <v>4.46</v>
      </c>
      <c r="E36" s="113">
        <v>92.2</v>
      </c>
      <c r="F36" s="113">
        <v>98.4</v>
      </c>
      <c r="G36" s="109">
        <v>25040256</v>
      </c>
      <c r="I36" s="39" t="s">
        <v>996</v>
      </c>
      <c r="J36" s="9">
        <v>174</v>
      </c>
      <c r="K36" s="10">
        <v>282</v>
      </c>
      <c r="L36" s="11">
        <v>4.86</v>
      </c>
      <c r="M36" s="12">
        <v>90.9</v>
      </c>
      <c r="N36" s="12">
        <v>98.5</v>
      </c>
      <c r="O36" s="9">
        <v>25030077</v>
      </c>
    </row>
    <row r="37" ht="16.5" spans="1:15">
      <c r="A37" s="23" t="s">
        <v>997</v>
      </c>
      <c r="B37" s="14">
        <v>194</v>
      </c>
      <c r="C37" s="15">
        <v>278.3</v>
      </c>
      <c r="D37" s="16">
        <v>4.43</v>
      </c>
      <c r="E37" s="17">
        <v>93.7</v>
      </c>
      <c r="F37" s="17">
        <v>99.5</v>
      </c>
      <c r="G37" s="14">
        <v>25040292</v>
      </c>
      <c r="I37" s="39" t="s">
        <v>998</v>
      </c>
      <c r="J37" s="9">
        <v>239.6</v>
      </c>
      <c r="K37" s="10">
        <v>286.5</v>
      </c>
      <c r="L37" s="11">
        <v>4.15</v>
      </c>
      <c r="M37" s="12">
        <v>90.6</v>
      </c>
      <c r="N37" s="12">
        <v>98</v>
      </c>
      <c r="O37" s="9">
        <v>25030405</v>
      </c>
    </row>
    <row r="38" ht="16.5" spans="1:15">
      <c r="A38" s="23" t="s">
        <v>999</v>
      </c>
      <c r="B38" s="14">
        <v>483.4</v>
      </c>
      <c r="C38" s="15">
        <v>273.7</v>
      </c>
      <c r="D38" s="16">
        <v>4.29</v>
      </c>
      <c r="E38" s="17">
        <v>93.4</v>
      </c>
      <c r="F38" s="17">
        <v>99.2</v>
      </c>
      <c r="G38" s="14">
        <v>25040293</v>
      </c>
      <c r="I38" s="39" t="s">
        <v>1000</v>
      </c>
      <c r="J38" s="9">
        <v>485</v>
      </c>
      <c r="K38" s="10">
        <v>268.4</v>
      </c>
      <c r="L38" s="11">
        <v>4.29</v>
      </c>
      <c r="M38" s="12">
        <v>93</v>
      </c>
      <c r="N38" s="12">
        <v>98.9</v>
      </c>
      <c r="O38" s="9">
        <v>25040178</v>
      </c>
    </row>
    <row r="39" ht="16.5" spans="1:15">
      <c r="A39" s="23" t="s">
        <v>1001</v>
      </c>
      <c r="B39" s="14">
        <v>476.8</v>
      </c>
      <c r="C39" s="15">
        <v>287.4</v>
      </c>
      <c r="D39" s="16">
        <v>4.89</v>
      </c>
      <c r="E39" s="17">
        <v>92.8</v>
      </c>
      <c r="F39" s="17">
        <v>98.9</v>
      </c>
      <c r="G39" s="14">
        <v>25040051</v>
      </c>
      <c r="I39" s="39" t="s">
        <v>1002</v>
      </c>
      <c r="J39" s="9">
        <v>337.8</v>
      </c>
      <c r="K39" s="10">
        <v>273.3</v>
      </c>
      <c r="L39" s="11">
        <v>4.66</v>
      </c>
      <c r="M39" s="12">
        <v>89.5</v>
      </c>
      <c r="N39" s="12">
        <v>96.6</v>
      </c>
      <c r="O39" s="9">
        <v>24120210</v>
      </c>
    </row>
    <row r="40" ht="16.5" spans="1:15">
      <c r="I40" s="39" t="s">
        <v>1003</v>
      </c>
      <c r="J40" s="9">
        <v>0</v>
      </c>
      <c r="K40" s="10">
        <v>275.5</v>
      </c>
      <c r="L40" s="11">
        <v>4.26</v>
      </c>
      <c r="M40" s="12">
        <v>92.6</v>
      </c>
      <c r="N40" s="12">
        <v>98.5</v>
      </c>
      <c r="O40" s="9">
        <v>25040034</v>
      </c>
    </row>
    <row r="41" ht="16.5" spans="1:15">
      <c r="I41" s="23" t="s">
        <v>1004</v>
      </c>
      <c r="J41" s="14">
        <v>511.6</v>
      </c>
      <c r="K41" s="15">
        <v>169.2</v>
      </c>
      <c r="L41" s="16">
        <v>4.72</v>
      </c>
      <c r="M41" s="17">
        <v>64.7</v>
      </c>
      <c r="N41" s="17">
        <v>86.7</v>
      </c>
      <c r="O41" s="24">
        <v>25010360</v>
      </c>
    </row>
    <row r="42" ht="16.5" spans="1:15">
      <c r="I42" s="23" t="s">
        <v>1005</v>
      </c>
      <c r="J42" s="14">
        <v>323.6</v>
      </c>
      <c r="K42" s="15">
        <v>277.7</v>
      </c>
      <c r="L42" s="16">
        <v>4.61</v>
      </c>
      <c r="M42" s="17">
        <v>90.1</v>
      </c>
      <c r="N42" s="17">
        <v>97.9</v>
      </c>
      <c r="O42" s="14">
        <v>25020118</v>
      </c>
    </row>
  </sheetData>
  <conditionalFormatting sqref="A1:A2">
    <cfRule type="duplicateValues" dxfId="0" priority="6"/>
  </conditionalFormatting>
  <conditionalFormatting sqref="A27:A28">
    <cfRule type="duplicateValues" dxfId="0" priority="5"/>
  </conditionalFormatting>
  <conditionalFormatting sqref="I1:I2">
    <cfRule type="duplicateValues" dxfId="0" priority="4"/>
  </conditionalFormatting>
  <conditionalFormatting sqref="I27:I28">
    <cfRule type="duplicateValues" dxfId="0" priority="3"/>
  </conditionalFormatting>
  <conditionalFormatting sqref="T1:T2">
    <cfRule type="duplicateValues" dxfId="0" priority="2"/>
  </conditionalFormatting>
  <dataValidations count="1">
    <dataValidation allowBlank="1" showInputMessage="1" showErrorMessage="1" sqref="J3:K3 U3:V3 U4 B13 B3:B11 B29:B30 B32:B39 C3:C13 C29:C39 J4:J7 J10:J16 J29:J34 J36:J37 J39:J42 K4:K16 K29:K42 U6:U11 U14:U17 V4:V17 AC29:AC30"/>
  </dataValidations>
  <pageMargins left="0.75" right="0.75" top="1" bottom="1" header="0.5" footer="0.5"/>
  <pageSetup paperSize="9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</cols>
  <sheetData>
    <row r="1" ht="16.5" spans="1:8">
      <c r="A1" s="116">
        <v>411</v>
      </c>
      <c r="B1" s="2">
        <f>SUM(B3:B23)</f>
        <v>619.6</v>
      </c>
      <c r="C1" s="3" cm="1">
        <f t="array" ref="C1">SUMPRODUCT(C3:C23*B3:B23)/B1</f>
        <v>250.144157520981</v>
      </c>
      <c r="D1" s="4" cm="1">
        <f t="array" ref="D1">SUMPRODUCT(B3:B23*D3:D23)/B1</f>
        <v>4.92096191091026</v>
      </c>
      <c r="E1" s="3" cm="1">
        <f t="array" ref="E1">SUMPRODUCT(B3:B23*E3:E23)/B1</f>
        <v>90.4480955455132</v>
      </c>
      <c r="F1" s="3" cm="1">
        <f t="array" ref="F1">SUMPRODUCT(B3:B23*F3:F23)/B1</f>
        <v>96.2007101355713</v>
      </c>
    </row>
    <row r="2" ht="16.5" spans="1:8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8">
      <c r="A3" s="18" t="s">
        <v>1006</v>
      </c>
      <c r="B3" s="14">
        <v>445.2</v>
      </c>
      <c r="C3" s="15">
        <v>241.7</v>
      </c>
      <c r="D3" s="16">
        <v>4.89</v>
      </c>
      <c r="E3" s="17">
        <v>88.9</v>
      </c>
      <c r="F3" s="17">
        <v>95.3</v>
      </c>
      <c r="G3" s="178" t="s">
        <v>1007</v>
      </c>
      <c r="H3" s="14">
        <v>24090047</v>
      </c>
    </row>
    <row r="4" ht="16.5" spans="1:8">
      <c r="A4" s="18" t="s">
        <v>1008</v>
      </c>
      <c r="B4" s="14">
        <v>174.4</v>
      </c>
      <c r="C4" s="15">
        <v>271.7</v>
      </c>
      <c r="D4" s="16">
        <v>5</v>
      </c>
      <c r="E4" s="17">
        <v>94.4</v>
      </c>
      <c r="F4" s="17">
        <v>98.5</v>
      </c>
      <c r="G4" s="160" t="s">
        <v>1009</v>
      </c>
      <c r="H4" s="14">
        <v>24090125</v>
      </c>
    </row>
    <row r="26" ht="16.5" spans="1:7">
      <c r="A26" s="116">
        <v>412</v>
      </c>
      <c r="B26" s="2">
        <f>SUM(B28:B29)</f>
        <v>1016.2</v>
      </c>
      <c r="C26" s="3" cm="1">
        <f t="array" ref="C26">SUMPRODUCT(C28:C29*B28:B29)/B26</f>
        <v>267.352312536902</v>
      </c>
      <c r="D26" s="4" cm="1">
        <f t="array" ref="D26">SUMPRODUCT(B28:B29*D28:D29)/B26</f>
        <v>4.89</v>
      </c>
      <c r="E26" s="3" cm="1">
        <f t="array" ref="E26">SUMPRODUCT(B28:B29*E28:E29)/B26</f>
        <v>92.3000984058256</v>
      </c>
      <c r="F26" s="3" cm="1">
        <f t="array" ref="F26">SUMPRODUCT(B28:B29*F28:F29)/B26</f>
        <v>99.1500492029128</v>
      </c>
    </row>
    <row r="27" ht="16.5" spans="1:7">
      <c r="A27" s="6">
        <v>240</v>
      </c>
      <c r="B27" s="6" t="s">
        <v>0</v>
      </c>
      <c r="C27" s="6" t="s">
        <v>1</v>
      </c>
      <c r="D27" s="6" t="s">
        <v>2</v>
      </c>
      <c r="E27" s="6" t="s">
        <v>3</v>
      </c>
      <c r="F27" s="6" t="s">
        <v>4</v>
      </c>
    </row>
    <row r="28" ht="16.5" spans="1:7">
      <c r="A28" s="30" t="s">
        <v>981</v>
      </c>
      <c r="B28" s="24">
        <v>508.6</v>
      </c>
      <c r="C28" s="28">
        <v>269.7</v>
      </c>
      <c r="D28" s="25">
        <v>4.89</v>
      </c>
      <c r="E28" s="29">
        <v>92.4</v>
      </c>
      <c r="F28" s="29">
        <v>99.2</v>
      </c>
      <c r="G28" s="24">
        <v>25010382</v>
      </c>
    </row>
    <row r="29" ht="16.5" spans="1:7">
      <c r="A29" s="30" t="s">
        <v>984</v>
      </c>
      <c r="B29" s="24">
        <v>507.6</v>
      </c>
      <c r="C29" s="28">
        <v>265</v>
      </c>
      <c r="D29" s="25">
        <v>4.89</v>
      </c>
      <c r="E29" s="29">
        <v>92.2</v>
      </c>
      <c r="F29" s="29">
        <v>99.1</v>
      </c>
      <c r="G29" s="24">
        <v>25010383</v>
      </c>
    </row>
    <row r="37" ht="16.5" spans="1:7">
      <c r="A37" s="116">
        <v>413</v>
      </c>
      <c r="B37" s="2">
        <f>SUM(B39:B59)</f>
        <v>1085.6</v>
      </c>
      <c r="C37" s="3" cm="1">
        <f t="array" ref="C37">SUMPRODUCT(C39:C59*B39:B59)/B37</f>
        <v>245.870283714075</v>
      </c>
      <c r="D37" s="4" cm="1">
        <f t="array" ref="D37">SUMPRODUCT(B39:B59*D39:D59)/B37</f>
        <v>4.32646094325719</v>
      </c>
      <c r="E37" s="3" cm="1">
        <f t="array" ref="E37">SUMPRODUCT(B39:B59*E39:E59)/B37</f>
        <v>92.1305453205601</v>
      </c>
      <c r="F37" s="3" cm="1">
        <f t="array" ref="F37">SUMPRODUCT(B39:B59*F39:F59)/B37</f>
        <v>98.9462417096537</v>
      </c>
    </row>
    <row r="38" ht="16.5" spans="1:7">
      <c r="A38" s="6">
        <v>220</v>
      </c>
      <c r="B38" s="6" t="s">
        <v>0</v>
      </c>
      <c r="C38" s="6" t="s">
        <v>1</v>
      </c>
      <c r="D38" s="6" t="s">
        <v>2</v>
      </c>
      <c r="E38" s="6" t="s">
        <v>3</v>
      </c>
      <c r="F38" s="6" t="s">
        <v>4</v>
      </c>
    </row>
    <row r="39" ht="16.5" spans="1:7">
      <c r="A39" s="23" t="s">
        <v>1010</v>
      </c>
      <c r="B39" s="14">
        <v>353.4</v>
      </c>
      <c r="C39" s="15">
        <v>246.1</v>
      </c>
      <c r="D39" s="16">
        <v>4.29</v>
      </c>
      <c r="E39" s="17">
        <v>92.4</v>
      </c>
      <c r="F39" s="17">
        <v>99</v>
      </c>
      <c r="G39" s="14">
        <v>25040297</v>
      </c>
    </row>
    <row r="40" ht="16.5" spans="1:7">
      <c r="A40" s="23" t="s">
        <v>1011</v>
      </c>
      <c r="B40" s="14">
        <v>438.6</v>
      </c>
      <c r="C40" s="15">
        <v>246</v>
      </c>
      <c r="D40" s="16">
        <v>4.32</v>
      </c>
      <c r="E40" s="17">
        <v>91.8</v>
      </c>
      <c r="F40" s="17">
        <v>98.8</v>
      </c>
      <c r="G40" s="14">
        <v>25040318</v>
      </c>
    </row>
    <row r="41" ht="16.5" spans="1:7">
      <c r="A41" s="23" t="s">
        <v>1012</v>
      </c>
      <c r="B41" s="14">
        <v>293.6</v>
      </c>
      <c r="C41" s="15">
        <v>245.4</v>
      </c>
      <c r="D41" s="16">
        <v>4.38</v>
      </c>
      <c r="E41" s="17">
        <v>92.3</v>
      </c>
      <c r="F41" s="17">
        <v>99.1</v>
      </c>
      <c r="G41" s="14">
        <v>25040338</v>
      </c>
    </row>
  </sheetData>
  <conditionalFormatting sqref="A1:A2">
    <cfRule type="duplicateValues" dxfId="0" priority="3"/>
  </conditionalFormatting>
  <conditionalFormatting sqref="A26:A27">
    <cfRule type="duplicateValues" dxfId="0" priority="2"/>
  </conditionalFormatting>
  <conditionalFormatting sqref="A37:A38">
    <cfRule type="duplicateValues" dxfId="0" priority="1"/>
  </conditionalFormatting>
  <dataValidations count="1">
    <dataValidation allowBlank="1" showInputMessage="1" showErrorMessage="1" sqref="B28:C29 B3:C4 B39:C41"/>
  </dataValidations>
  <pageMargins left="0.75" right="0.75" top="1" bottom="1" header="0.5" footer="0.5"/>
  <pageSetup paperSize="9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workbookViewId="0">
      <selection activeCell="L25" sqref="L25"/>
    </sheetView>
  </sheetViews>
  <sheetFormatPr defaultColWidth="9" defaultRowHeight="13.5"/>
  <cols>
    <col min="1" max="1" width="15.625" customWidth="1"/>
    <col min="7" max="7" width="9.375"/>
    <col min="11" max="11" width="15.625" customWidth="1"/>
    <col min="17" max="17" width="9.375"/>
  </cols>
  <sheetData>
    <row r="1" ht="16.5" spans="1:18">
      <c r="A1" s="116">
        <v>414</v>
      </c>
      <c r="B1" s="2">
        <f>SUM(B3:B23)</f>
        <v>5070</v>
      </c>
      <c r="C1" s="3" cm="1">
        <f t="array" ref="C1">SUMPRODUCT(C3:C23*B3:B23)/B1</f>
        <v>218.90173964497</v>
      </c>
      <c r="D1" s="4" cm="1">
        <f t="array" ref="D1">SUMPRODUCT(B3:B23*D3:D23)/B1</f>
        <v>4.8061775147929</v>
      </c>
      <c r="E1" s="3" cm="1">
        <f t="array" ref="E1">SUMPRODUCT(B3:B23*E3:E23)/B1</f>
        <v>85.520674556213</v>
      </c>
      <c r="F1" s="3" cm="1">
        <f t="array" ref="F1">SUMPRODUCT(B3:B23*F3:F23)/B1</f>
        <v>95.6864102564103</v>
      </c>
      <c r="K1" s="116">
        <v>416</v>
      </c>
      <c r="L1" s="2">
        <f>SUM(L3:L23)</f>
        <v>4917.8</v>
      </c>
      <c r="M1" s="3" cm="1">
        <f t="array" ref="M1">SUMPRODUCT(M3:M23*L3:L23)/L1</f>
        <v>218.769384684208</v>
      </c>
      <c r="N1" s="4" cm="1">
        <f t="array" ref="N1">SUMPRODUCT(L3:L23*N3:N23)/L1</f>
        <v>4.79811460409126</v>
      </c>
      <c r="O1" s="3" cm="1">
        <f t="array" ref="O1">SUMPRODUCT(L3:L23*O3:O23)/L1</f>
        <v>86.4368538777502</v>
      </c>
      <c r="P1" s="3" cm="1">
        <f t="array" ref="P1">SUMPRODUCT(L3:L23*P3:P23)/L1</f>
        <v>96.6344462971247</v>
      </c>
    </row>
    <row r="2" ht="16.5" spans="1:18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K2" s="6">
        <v>200</v>
      </c>
      <c r="L2" s="6" t="s">
        <v>0</v>
      </c>
      <c r="M2" s="6" t="s">
        <v>1</v>
      </c>
      <c r="N2" s="6" t="s">
        <v>2</v>
      </c>
      <c r="O2" s="6" t="s">
        <v>3</v>
      </c>
      <c r="P2" s="6" t="s">
        <v>4</v>
      </c>
    </row>
    <row r="3" ht="16.5" spans="1:18">
      <c r="A3" s="59">
        <v>403</v>
      </c>
      <c r="B3" s="59">
        <v>1500</v>
      </c>
      <c r="C3" s="65">
        <v>220.3</v>
      </c>
      <c r="D3" s="65">
        <v>4.88</v>
      </c>
      <c r="E3" s="5">
        <v>86.7</v>
      </c>
      <c r="F3" s="5">
        <v>97.5</v>
      </c>
      <c r="K3" s="59">
        <v>403</v>
      </c>
      <c r="L3" s="59">
        <v>2000</v>
      </c>
      <c r="M3" s="65">
        <v>220.3</v>
      </c>
      <c r="N3" s="65">
        <v>4.88</v>
      </c>
      <c r="O3" s="5">
        <v>86.7</v>
      </c>
      <c r="P3" s="5">
        <v>97.5</v>
      </c>
    </row>
    <row r="4" ht="16.5" spans="1:18">
      <c r="A4" s="159" t="s">
        <v>1013</v>
      </c>
      <c r="B4" s="19">
        <v>220.8</v>
      </c>
      <c r="C4" s="19">
        <v>227.6</v>
      </c>
      <c r="D4" s="19">
        <v>4.06</v>
      </c>
      <c r="E4" s="19">
        <v>89.8</v>
      </c>
      <c r="F4" s="19">
        <v>96.2</v>
      </c>
      <c r="G4" s="19">
        <v>24090003</v>
      </c>
      <c r="H4" s="19" t="s">
        <v>1014</v>
      </c>
      <c r="K4" s="69" t="s">
        <v>1015</v>
      </c>
      <c r="L4" s="14">
        <v>465.4</v>
      </c>
      <c r="M4" s="15">
        <v>246</v>
      </c>
      <c r="N4" s="16">
        <v>4.41</v>
      </c>
      <c r="O4" s="17">
        <v>88.5</v>
      </c>
      <c r="P4" s="17">
        <v>95</v>
      </c>
      <c r="Q4" s="24">
        <v>24090042</v>
      </c>
      <c r="R4" s="143" t="s">
        <v>1016</v>
      </c>
    </row>
    <row r="5" ht="16.5" spans="1:18">
      <c r="A5" s="159" t="s">
        <v>1017</v>
      </c>
      <c r="B5" s="19">
        <v>502.6</v>
      </c>
      <c r="C5" s="19">
        <v>234.9</v>
      </c>
      <c r="D5" s="19">
        <v>4.34</v>
      </c>
      <c r="E5" s="19">
        <v>88.9</v>
      </c>
      <c r="F5" s="19">
        <v>95.2</v>
      </c>
      <c r="G5" s="19">
        <v>24090044</v>
      </c>
      <c r="H5" s="19" t="s">
        <v>1018</v>
      </c>
      <c r="K5" s="69" t="s">
        <v>1019</v>
      </c>
      <c r="L5" s="14">
        <v>225</v>
      </c>
      <c r="M5" s="15">
        <v>230.8</v>
      </c>
      <c r="N5" s="16">
        <v>5.55</v>
      </c>
      <c r="O5" s="17">
        <v>84.5</v>
      </c>
      <c r="P5" s="17">
        <v>94.2</v>
      </c>
      <c r="Q5" s="24">
        <v>24090076</v>
      </c>
      <c r="R5" s="143" t="s">
        <v>1020</v>
      </c>
    </row>
    <row r="6" ht="16.5" spans="1:18">
      <c r="A6" s="159" t="s">
        <v>1021</v>
      </c>
      <c r="B6" s="19">
        <v>531.4</v>
      </c>
      <c r="C6" s="19">
        <v>215.2</v>
      </c>
      <c r="D6" s="19">
        <v>5.3</v>
      </c>
      <c r="E6" s="19">
        <v>81.5</v>
      </c>
      <c r="F6" s="19">
        <v>92.2</v>
      </c>
      <c r="G6" s="19">
        <v>24090051</v>
      </c>
      <c r="H6" s="19" t="s">
        <v>1022</v>
      </c>
      <c r="K6" s="69" t="s">
        <v>1023</v>
      </c>
      <c r="L6" s="14">
        <v>221.6</v>
      </c>
      <c r="M6" s="15">
        <v>185.3</v>
      </c>
      <c r="N6" s="16">
        <v>3.53</v>
      </c>
      <c r="O6" s="17">
        <v>81.8</v>
      </c>
      <c r="P6" s="17">
        <v>92.7</v>
      </c>
      <c r="Q6" s="24">
        <v>24090040</v>
      </c>
      <c r="R6" s="143" t="s">
        <v>1024</v>
      </c>
    </row>
    <row r="7" ht="16.5" spans="1:18">
      <c r="A7" s="54" t="s">
        <v>1025</v>
      </c>
      <c r="B7" s="9">
        <v>497.8</v>
      </c>
      <c r="C7" s="10">
        <v>241.1</v>
      </c>
      <c r="D7" s="11">
        <v>4.86</v>
      </c>
      <c r="E7" s="12">
        <v>89</v>
      </c>
      <c r="F7" s="12">
        <v>95.4</v>
      </c>
      <c r="G7" s="9">
        <v>24090046</v>
      </c>
      <c r="H7" s="19" t="s">
        <v>1022</v>
      </c>
      <c r="K7" s="30" t="s">
        <v>1026</v>
      </c>
      <c r="L7" s="14">
        <v>170.2</v>
      </c>
      <c r="M7" s="15">
        <v>182.2</v>
      </c>
      <c r="N7" s="16">
        <v>4.41</v>
      </c>
      <c r="O7" s="17">
        <v>82.3</v>
      </c>
      <c r="P7" s="17">
        <v>96.2</v>
      </c>
      <c r="Q7" s="136">
        <v>25040100</v>
      </c>
    </row>
    <row r="8" ht="16.5" spans="1:18">
      <c r="A8" s="54" t="s">
        <v>1027</v>
      </c>
      <c r="B8" s="9">
        <v>533.8</v>
      </c>
      <c r="C8" s="10">
        <v>240.4</v>
      </c>
      <c r="D8" s="11">
        <v>5.44</v>
      </c>
      <c r="E8" s="12">
        <v>81.2</v>
      </c>
      <c r="F8" s="12">
        <v>92</v>
      </c>
      <c r="G8" s="9">
        <v>24090027</v>
      </c>
      <c r="H8" s="7" t="s">
        <v>1028</v>
      </c>
      <c r="K8" s="30" t="s">
        <v>1029</v>
      </c>
      <c r="L8" s="14">
        <v>505.6</v>
      </c>
      <c r="M8" s="15">
        <v>196.8</v>
      </c>
      <c r="N8" s="16">
        <v>4.46</v>
      </c>
      <c r="O8" s="17">
        <v>86.4</v>
      </c>
      <c r="P8" s="17">
        <v>97.4</v>
      </c>
      <c r="Q8" s="136">
        <v>25040189</v>
      </c>
    </row>
    <row r="9" ht="16.5" spans="1:18">
      <c r="A9" s="23" t="s">
        <v>1030</v>
      </c>
      <c r="B9" s="14">
        <v>309</v>
      </c>
      <c r="C9" s="15">
        <v>191.5</v>
      </c>
      <c r="D9" s="16">
        <v>4.49</v>
      </c>
      <c r="E9" s="17">
        <v>84.1</v>
      </c>
      <c r="F9" s="17">
        <v>97.1</v>
      </c>
      <c r="G9" s="156">
        <v>25040153</v>
      </c>
      <c r="K9" s="69" t="s">
        <v>1031</v>
      </c>
      <c r="L9" s="14">
        <v>484.6</v>
      </c>
      <c r="M9" s="15">
        <v>270.8</v>
      </c>
      <c r="N9" s="16">
        <v>5.02</v>
      </c>
      <c r="O9" s="17">
        <v>96.1</v>
      </c>
      <c r="P9" s="17">
        <v>99.4</v>
      </c>
      <c r="Q9" s="14">
        <v>24090120</v>
      </c>
      <c r="R9" s="160" t="s">
        <v>1032</v>
      </c>
    </row>
    <row r="10" ht="16.5" spans="1:18">
      <c r="A10" s="23" t="s">
        <v>1033</v>
      </c>
      <c r="B10" s="14">
        <v>458.2</v>
      </c>
      <c r="C10" s="15">
        <v>182.2</v>
      </c>
      <c r="D10" s="16">
        <v>4.41</v>
      </c>
      <c r="E10" s="17">
        <v>82</v>
      </c>
      <c r="F10" s="17">
        <v>95.8</v>
      </c>
      <c r="G10" s="156">
        <v>25040099</v>
      </c>
      <c r="K10" s="30" t="s">
        <v>1034</v>
      </c>
      <c r="L10" s="14">
        <v>452.6</v>
      </c>
      <c r="M10" s="15">
        <v>170.2</v>
      </c>
      <c r="N10" s="16">
        <v>4.23</v>
      </c>
      <c r="O10" s="17">
        <v>81.4</v>
      </c>
      <c r="P10" s="17">
        <v>96</v>
      </c>
      <c r="Q10" s="14">
        <v>25040045</v>
      </c>
    </row>
    <row r="11" ht="16.5" spans="1:18">
      <c r="A11" s="23" t="s">
        <v>1035</v>
      </c>
      <c r="B11" s="14">
        <v>516.4</v>
      </c>
      <c r="C11" s="15">
        <v>204.7</v>
      </c>
      <c r="D11" s="16">
        <v>4.69</v>
      </c>
      <c r="E11" s="17">
        <v>86.2</v>
      </c>
      <c r="F11" s="17">
        <v>97.4</v>
      </c>
      <c r="G11" s="156">
        <v>25040004</v>
      </c>
      <c r="K11" s="69" t="s">
        <v>1036</v>
      </c>
      <c r="L11" s="14">
        <v>392.8</v>
      </c>
      <c r="M11" s="15">
        <v>226.6</v>
      </c>
      <c r="N11" s="16">
        <v>6.11</v>
      </c>
      <c r="O11" s="17">
        <v>82.1</v>
      </c>
      <c r="P11" s="17">
        <v>94.3</v>
      </c>
      <c r="Q11" s="14">
        <v>24070295</v>
      </c>
    </row>
    <row r="24" spans="1:19">
      <c r="K24" s="161"/>
      <c r="L24" s="161"/>
      <c r="M24" s="161"/>
      <c r="N24" s="161"/>
      <c r="O24" s="161"/>
      <c r="P24" s="161"/>
      <c r="Q24" s="161"/>
      <c r="R24" s="161"/>
      <c r="S24" s="161"/>
    </row>
    <row r="25" ht="16.5" spans="1:19">
      <c r="K25" s="162"/>
      <c r="L25" s="163"/>
      <c r="M25" s="164"/>
      <c r="N25" s="165"/>
      <c r="O25" s="161"/>
      <c r="P25" s="161"/>
      <c r="Q25" s="161"/>
      <c r="R25" s="161"/>
      <c r="S25" s="161"/>
    </row>
    <row r="26" ht="16.5" spans="1:19">
      <c r="K26" s="162"/>
      <c r="L26" s="163"/>
      <c r="M26" s="164"/>
      <c r="N26" s="165"/>
      <c r="O26" s="161"/>
      <c r="P26" s="161"/>
      <c r="Q26" s="161"/>
      <c r="R26" s="161"/>
      <c r="S26" s="161"/>
    </row>
    <row r="27" ht="16.5" spans="1:19">
      <c r="A27" s="116">
        <v>415</v>
      </c>
      <c r="B27" s="2">
        <f>SUM(B29:B49)</f>
        <v>5177</v>
      </c>
      <c r="C27" s="3" cm="1">
        <f t="array" ref="C27">SUMPRODUCT(C29:C49*B29:B49)/B27</f>
        <v>216.367973729959</v>
      </c>
      <c r="D27" s="4" cm="1">
        <f t="array" ref="D27">SUMPRODUCT(B29:B49*D29:D49)/B27</f>
        <v>4.78948155302299</v>
      </c>
      <c r="E27" s="3" cm="1">
        <f t="array" ref="E27">SUMPRODUCT(B29:B49*E29:E49)/B27</f>
        <v>86.9679389607881</v>
      </c>
      <c r="F27" s="3" cm="1">
        <f t="array" ref="F27">SUMPRODUCT(B29:B49*F29:F49)/B27</f>
        <v>96.314997102569</v>
      </c>
      <c r="K27" s="162"/>
      <c r="L27" s="163"/>
      <c r="M27" s="164"/>
      <c r="N27" s="165"/>
      <c r="O27" s="161"/>
      <c r="P27" s="161"/>
      <c r="Q27" s="161"/>
      <c r="R27" s="161"/>
      <c r="S27" s="161"/>
    </row>
    <row r="28" ht="16.5" spans="1:19">
      <c r="A28" s="6">
        <v>200</v>
      </c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K28" s="162"/>
      <c r="L28" s="163"/>
      <c r="M28" s="164"/>
      <c r="N28" s="165"/>
      <c r="O28" s="161"/>
      <c r="P28" s="161"/>
      <c r="Q28" s="161"/>
      <c r="R28" s="161"/>
      <c r="S28" s="161"/>
    </row>
    <row r="29" ht="16.5" spans="1:19">
      <c r="A29" s="59">
        <v>403</v>
      </c>
      <c r="B29" s="59">
        <v>1500</v>
      </c>
      <c r="C29" s="65">
        <v>220.3</v>
      </c>
      <c r="D29" s="65">
        <v>4.88</v>
      </c>
      <c r="E29" s="5">
        <v>86.7</v>
      </c>
      <c r="F29" s="5">
        <v>97.5</v>
      </c>
      <c r="K29" s="162"/>
      <c r="L29" s="163"/>
      <c r="M29" s="163"/>
      <c r="N29" s="166"/>
      <c r="O29" s="161"/>
      <c r="P29" s="161"/>
      <c r="Q29" s="161"/>
      <c r="R29" s="161"/>
      <c r="S29" s="161"/>
    </row>
    <row r="30" ht="16.5" spans="1:19">
      <c r="A30" s="54" t="s">
        <v>1037</v>
      </c>
      <c r="B30" s="9">
        <v>391.4</v>
      </c>
      <c r="C30" s="10">
        <v>239.7</v>
      </c>
      <c r="D30" s="11">
        <v>6.56</v>
      </c>
      <c r="E30" s="12">
        <v>84</v>
      </c>
      <c r="F30" s="12">
        <v>93.9</v>
      </c>
      <c r="G30" s="34">
        <v>24090130</v>
      </c>
      <c r="H30" s="167" t="s">
        <v>1038</v>
      </c>
      <c r="K30" s="162"/>
      <c r="L30" s="163"/>
      <c r="M30" s="163"/>
      <c r="N30" s="168"/>
      <c r="O30" s="161"/>
      <c r="P30" s="161"/>
      <c r="Q30" s="161"/>
      <c r="R30" s="161"/>
      <c r="S30" s="161"/>
    </row>
    <row r="31" ht="16.5" spans="1:19">
      <c r="A31" s="54" t="s">
        <v>1039</v>
      </c>
      <c r="B31" s="9">
        <v>536.6</v>
      </c>
      <c r="C31" s="10">
        <v>229</v>
      </c>
      <c r="D31" s="11">
        <v>5.24</v>
      </c>
      <c r="E31" s="12">
        <v>87.3</v>
      </c>
      <c r="F31" s="12">
        <v>94.9</v>
      </c>
      <c r="G31" s="34">
        <v>24090049</v>
      </c>
      <c r="H31" s="167" t="s">
        <v>1040</v>
      </c>
      <c r="K31" s="169"/>
      <c r="L31" s="163"/>
      <c r="M31" s="164"/>
      <c r="N31" s="170"/>
      <c r="O31" s="161"/>
      <c r="P31" s="161"/>
      <c r="Q31" s="161"/>
      <c r="R31" s="161"/>
      <c r="S31" s="161"/>
    </row>
    <row r="32" ht="16.5" spans="1:19">
      <c r="A32" s="54" t="s">
        <v>1041</v>
      </c>
      <c r="B32" s="9">
        <v>300.8</v>
      </c>
      <c r="C32" s="10">
        <v>168.4</v>
      </c>
      <c r="D32" s="11">
        <v>3.65</v>
      </c>
      <c r="E32" s="12">
        <v>80.3</v>
      </c>
      <c r="F32" s="12">
        <v>92.1</v>
      </c>
      <c r="G32" s="34">
        <v>24090012</v>
      </c>
      <c r="H32" s="167" t="s">
        <v>1042</v>
      </c>
      <c r="K32" s="169"/>
      <c r="L32" s="163"/>
      <c r="M32" s="171"/>
      <c r="N32" s="161"/>
      <c r="O32" s="161"/>
      <c r="P32" s="161"/>
      <c r="Q32" s="161"/>
      <c r="R32" s="161"/>
      <c r="S32" s="161"/>
    </row>
    <row r="33" ht="16.5" spans="1:19">
      <c r="A33" s="54" t="s">
        <v>1043</v>
      </c>
      <c r="B33" s="9">
        <v>329.2</v>
      </c>
      <c r="C33" s="10">
        <v>258.8</v>
      </c>
      <c r="D33" s="11">
        <v>5.68</v>
      </c>
      <c r="E33" s="12">
        <v>91.8</v>
      </c>
      <c r="F33" s="12">
        <v>97.3</v>
      </c>
      <c r="G33" s="34">
        <v>24090129</v>
      </c>
      <c r="H33" s="167" t="s">
        <v>1044</v>
      </c>
      <c r="K33" s="161"/>
      <c r="L33" s="161"/>
      <c r="M33" s="161"/>
      <c r="N33" s="161"/>
      <c r="O33" s="161"/>
      <c r="P33" s="161"/>
      <c r="Q33" s="161"/>
      <c r="R33" s="161"/>
      <c r="S33" s="161"/>
    </row>
    <row r="34" ht="16.5" spans="1:19">
      <c r="A34" s="54" t="s">
        <v>1045</v>
      </c>
      <c r="B34" s="9">
        <v>486.8</v>
      </c>
      <c r="C34" s="10">
        <v>159.5</v>
      </c>
      <c r="D34" s="11">
        <v>4.43</v>
      </c>
      <c r="E34" s="12">
        <v>83.5</v>
      </c>
      <c r="F34" s="12">
        <v>94.3</v>
      </c>
      <c r="G34" s="9">
        <v>24090137</v>
      </c>
      <c r="H34" s="172" t="s">
        <v>1046</v>
      </c>
      <c r="K34" s="161"/>
      <c r="L34" s="161"/>
      <c r="M34" s="161"/>
      <c r="N34" s="161"/>
      <c r="O34" s="161"/>
      <c r="P34" s="161"/>
      <c r="Q34" s="161"/>
      <c r="R34" s="161"/>
      <c r="S34" s="161"/>
    </row>
    <row r="35" ht="16.5" spans="1:19">
      <c r="A35" s="54" t="s">
        <v>1047</v>
      </c>
      <c r="B35" s="9">
        <v>586</v>
      </c>
      <c r="C35" s="10">
        <v>224.9</v>
      </c>
      <c r="D35" s="11">
        <v>3.7</v>
      </c>
      <c r="E35" s="12">
        <v>88.9</v>
      </c>
      <c r="F35" s="12">
        <v>95.5</v>
      </c>
      <c r="G35" s="9">
        <v>24090001</v>
      </c>
      <c r="H35" s="173" t="s">
        <v>1048</v>
      </c>
      <c r="K35" s="162"/>
      <c r="L35" s="163"/>
      <c r="M35" s="164"/>
      <c r="N35" s="174"/>
      <c r="O35" s="161"/>
      <c r="P35" s="161"/>
      <c r="Q35" s="161"/>
      <c r="R35" s="161"/>
      <c r="S35" s="161"/>
    </row>
    <row r="36" ht="16.5" spans="1:19">
      <c r="A36" s="39" t="s">
        <v>1049</v>
      </c>
      <c r="B36" s="9">
        <v>517</v>
      </c>
      <c r="C36" s="10">
        <v>235.5</v>
      </c>
      <c r="D36" s="11">
        <v>4.49</v>
      </c>
      <c r="E36" s="12">
        <v>91.8</v>
      </c>
      <c r="F36" s="12">
        <v>99.3</v>
      </c>
      <c r="G36" s="34">
        <v>25040038</v>
      </c>
      <c r="H36" s="175"/>
      <c r="K36" s="162"/>
      <c r="L36" s="163"/>
      <c r="M36" s="164"/>
      <c r="N36" s="174"/>
      <c r="O36" s="161"/>
      <c r="P36" s="161"/>
      <c r="Q36" s="161"/>
      <c r="R36" s="161"/>
      <c r="S36" s="161"/>
    </row>
    <row r="37" ht="16.5" spans="1:19">
      <c r="A37" s="39" t="s">
        <v>1050</v>
      </c>
      <c r="B37" s="9">
        <v>0</v>
      </c>
      <c r="C37" s="10">
        <v>209.4</v>
      </c>
      <c r="D37" s="11">
        <v>4.72</v>
      </c>
      <c r="E37" s="12">
        <v>85.4</v>
      </c>
      <c r="F37" s="12">
        <v>96</v>
      </c>
      <c r="G37" s="133">
        <v>25040339</v>
      </c>
      <c r="K37" s="162"/>
      <c r="L37" s="163"/>
      <c r="M37" s="164"/>
      <c r="N37" s="174"/>
      <c r="O37" s="161"/>
      <c r="P37" s="161"/>
      <c r="Q37" s="161"/>
      <c r="R37" s="161"/>
      <c r="S37" s="161"/>
    </row>
    <row r="38" ht="16.5" spans="1:19">
      <c r="A38" s="23" t="s">
        <v>1051</v>
      </c>
      <c r="B38" s="14">
        <v>0</v>
      </c>
      <c r="C38" s="15">
        <v>203.6</v>
      </c>
      <c r="D38" s="16">
        <v>4.75</v>
      </c>
      <c r="E38" s="17">
        <v>87.9</v>
      </c>
      <c r="F38" s="17">
        <v>98.2</v>
      </c>
      <c r="G38" s="156">
        <v>25030450</v>
      </c>
      <c r="K38" s="162"/>
      <c r="L38" s="176"/>
      <c r="M38" s="164"/>
      <c r="N38" s="161"/>
      <c r="O38" s="161"/>
      <c r="P38" s="161"/>
      <c r="Q38" s="161"/>
      <c r="R38" s="161"/>
      <c r="S38" s="161"/>
    </row>
    <row r="39" ht="16.5" spans="1:19">
      <c r="A39" s="23" t="s">
        <v>1052</v>
      </c>
      <c r="B39" s="14">
        <v>0</v>
      </c>
      <c r="C39" s="15">
        <v>207.4</v>
      </c>
      <c r="D39" s="16">
        <v>4.69</v>
      </c>
      <c r="E39" s="17">
        <v>88.9</v>
      </c>
      <c r="F39" s="17">
        <v>98.6</v>
      </c>
      <c r="G39" s="156">
        <v>25040040</v>
      </c>
      <c r="K39" s="162"/>
      <c r="L39" s="163"/>
      <c r="M39" s="164"/>
      <c r="N39" s="174"/>
      <c r="O39" s="161"/>
      <c r="P39" s="161"/>
      <c r="Q39" s="161"/>
      <c r="R39" s="161"/>
      <c r="S39" s="161"/>
    </row>
    <row r="40" ht="16.5" spans="1:19">
      <c r="A40" s="23" t="s">
        <v>1053</v>
      </c>
      <c r="B40" s="14"/>
      <c r="C40" s="15">
        <v>200.7</v>
      </c>
      <c r="D40" s="16">
        <v>5.02</v>
      </c>
      <c r="E40" s="17">
        <v>84.8</v>
      </c>
      <c r="F40" s="17">
        <v>96.9</v>
      </c>
      <c r="G40" s="156">
        <v>25040187</v>
      </c>
      <c r="K40" s="169"/>
      <c r="L40" s="163"/>
      <c r="M40" s="171"/>
      <c r="N40" s="161"/>
      <c r="O40" s="161"/>
      <c r="P40" s="161"/>
      <c r="Q40" s="161"/>
      <c r="R40" s="161"/>
      <c r="S40" s="161"/>
    </row>
    <row r="41" ht="16.5" spans="1:19">
      <c r="A41" s="23" t="s">
        <v>1054</v>
      </c>
      <c r="B41" s="14">
        <v>529.2</v>
      </c>
      <c r="C41" s="15">
        <v>200.2</v>
      </c>
      <c r="D41" s="16">
        <v>4.69</v>
      </c>
      <c r="E41" s="17">
        <v>86.7</v>
      </c>
      <c r="F41" s="17">
        <v>97.8</v>
      </c>
      <c r="G41" s="156">
        <v>25040188</v>
      </c>
      <c r="K41" s="169"/>
      <c r="L41" s="163"/>
      <c r="M41" s="171"/>
      <c r="N41" s="161"/>
      <c r="O41" s="161"/>
      <c r="P41" s="161"/>
      <c r="Q41" s="161"/>
      <c r="R41" s="161"/>
      <c r="S41" s="161"/>
    </row>
    <row r="42" ht="16.5" spans="1:19">
      <c r="K42" s="169"/>
      <c r="L42" s="163"/>
      <c r="M42" s="171"/>
      <c r="N42" s="161"/>
      <c r="O42" s="161"/>
      <c r="P42" s="161"/>
      <c r="Q42" s="161"/>
      <c r="R42" s="161"/>
      <c r="S42" s="161"/>
    </row>
    <row r="43" spans="1:19">
      <c r="K43" s="161"/>
      <c r="L43" s="161"/>
      <c r="M43" s="161"/>
      <c r="N43" s="161"/>
      <c r="O43" s="161"/>
      <c r="P43" s="161"/>
      <c r="Q43" s="161"/>
      <c r="R43" s="161"/>
      <c r="S43" s="161"/>
    </row>
    <row r="44" spans="1:19">
      <c r="K44" s="161"/>
      <c r="L44" s="161"/>
      <c r="M44" s="161"/>
      <c r="N44" s="161"/>
      <c r="O44" s="161"/>
      <c r="P44" s="161"/>
      <c r="Q44" s="161"/>
      <c r="R44" s="161"/>
      <c r="S44" s="161"/>
    </row>
    <row r="45" ht="16.5" spans="1:19">
      <c r="K45" s="169"/>
      <c r="L45" s="163"/>
      <c r="M45" s="177"/>
      <c r="N45" s="161"/>
      <c r="O45" s="161"/>
      <c r="P45" s="161"/>
      <c r="Q45" s="161"/>
      <c r="R45" s="161"/>
      <c r="S45" s="161"/>
    </row>
    <row r="46" ht="16.5" spans="1:19">
      <c r="K46" s="169"/>
      <c r="L46" s="163"/>
      <c r="M46" s="177"/>
      <c r="N46" s="161"/>
      <c r="O46" s="161"/>
      <c r="P46" s="161"/>
      <c r="Q46" s="161"/>
      <c r="R46" s="161"/>
      <c r="S46" s="161"/>
    </row>
    <row r="47" ht="16.5" spans="1:19">
      <c r="K47" s="169"/>
      <c r="L47" s="163"/>
      <c r="M47" s="177"/>
      <c r="N47" s="161"/>
      <c r="O47" s="161"/>
      <c r="P47" s="161"/>
      <c r="Q47" s="161"/>
      <c r="R47" s="161"/>
      <c r="S47" s="161"/>
    </row>
    <row r="48" ht="16.5" spans="1:19">
      <c r="K48" s="169"/>
      <c r="L48" s="163"/>
      <c r="M48" s="177"/>
      <c r="N48" s="161"/>
      <c r="O48" s="161"/>
      <c r="P48" s="161"/>
      <c r="Q48" s="161"/>
      <c r="R48" s="161"/>
      <c r="S48" s="161"/>
    </row>
    <row r="49" spans="11:19">
      <c r="K49" s="161"/>
      <c r="L49" s="161"/>
      <c r="M49" s="161"/>
      <c r="N49" s="161"/>
      <c r="O49" s="161"/>
      <c r="P49" s="161"/>
      <c r="Q49" s="161"/>
      <c r="R49" s="161"/>
      <c r="S49" s="161"/>
    </row>
    <row r="50" spans="11:19">
      <c r="K50" s="161"/>
      <c r="L50" s="161"/>
      <c r="M50" s="161"/>
      <c r="N50" s="161"/>
      <c r="O50" s="161"/>
      <c r="P50" s="161"/>
      <c r="Q50" s="161"/>
      <c r="R50" s="161"/>
      <c r="S50" s="161"/>
    </row>
    <row r="53" ht="16.5" spans="11:19">
      <c r="K53" s="26" t="s">
        <v>1055</v>
      </c>
      <c r="L53" s="14">
        <v>493.8</v>
      </c>
      <c r="M53" s="14">
        <v>24110345</v>
      </c>
    </row>
  </sheetData>
  <conditionalFormatting sqref="K3">
    <cfRule type="duplicateValues" dxfId="0" priority="1"/>
  </conditionalFormatting>
  <conditionalFormatting sqref="A7">
    <cfRule type="duplicateValues" dxfId="0" priority="8"/>
  </conditionalFormatting>
  <conditionalFormatting sqref="A8">
    <cfRule type="duplicateValues" dxfId="0" priority="7"/>
  </conditionalFormatting>
  <conditionalFormatting sqref="A1:A3">
    <cfRule type="duplicateValues" dxfId="0" priority="10"/>
  </conditionalFormatting>
  <conditionalFormatting sqref="A4:A6">
    <cfRule type="duplicateValues" dxfId="0" priority="9"/>
  </conditionalFormatting>
  <conditionalFormatting sqref="A27:A29">
    <cfRule type="duplicateValues" dxfId="0" priority="3"/>
  </conditionalFormatting>
  <conditionalFormatting sqref="K1:K2">
    <cfRule type="duplicateValues" dxfId="0" priority="2"/>
  </conditionalFormatting>
  <dataValidations count="1">
    <dataValidation allowBlank="1" showInputMessage="1" showErrorMessage="1" sqref="C3 M3 C29 L53 L25:L32 L35:L42 L45:L48 B30:C41 B7:C11 L4:M11"/>
  </dataValidations>
  <pageMargins left="0.75" right="0.75" top="1" bottom="1" header="0.5" footer="0.5"/>
  <pageSetup paperSize="9" orientation="portrait"/>
  <headerFooter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J1" sqref="J$1:L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417</v>
      </c>
      <c r="B1" s="2">
        <f>SUM(B3:B23)</f>
        <v>5228.8</v>
      </c>
      <c r="C1" s="3" cm="1">
        <f t="array" ref="C1">SUMPRODUCT(C3:C23*B3:B23)/B1</f>
        <v>182.505374082007</v>
      </c>
      <c r="D1" s="4" cm="1">
        <f t="array" ref="D1">SUMPRODUCT(B3:B23*D3:D23)/B1</f>
        <v>3.86607558139535</v>
      </c>
      <c r="E1" s="3" cm="1">
        <f t="array" ref="E1">SUMPRODUCT(B3:B23*E3:E23)/B1</f>
        <v>79.1408468482252</v>
      </c>
      <c r="F1" s="3" cm="1">
        <f t="array" ref="F1">SUMPRODUCT(B3:B23*F3:F23)/B1</f>
        <v>94.1126835985312</v>
      </c>
    </row>
    <row r="2" ht="16.5" spans="1:7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1056</v>
      </c>
      <c r="B3" s="9">
        <v>527.2</v>
      </c>
      <c r="C3" s="10">
        <v>112.8</v>
      </c>
      <c r="D3" s="11">
        <v>2.99</v>
      </c>
      <c r="E3" s="12">
        <v>69.7</v>
      </c>
      <c r="F3" s="12">
        <v>89.9</v>
      </c>
      <c r="G3" s="94">
        <v>25010339</v>
      </c>
    </row>
    <row r="4" ht="16.5" spans="1:7">
      <c r="A4" s="39" t="s">
        <v>1057</v>
      </c>
      <c r="B4" s="9">
        <v>456.6</v>
      </c>
      <c r="C4" s="10">
        <v>159</v>
      </c>
      <c r="D4" s="11">
        <v>4.34</v>
      </c>
      <c r="E4" s="12">
        <v>70.4</v>
      </c>
      <c r="F4" s="12">
        <v>90</v>
      </c>
      <c r="G4" s="94">
        <v>25020109</v>
      </c>
    </row>
    <row r="5" ht="16.5" spans="1:7">
      <c r="A5" s="39" t="s">
        <v>1058</v>
      </c>
      <c r="B5" s="9">
        <v>485.8</v>
      </c>
      <c r="C5" s="10">
        <v>168.5</v>
      </c>
      <c r="D5" s="11">
        <v>4.06</v>
      </c>
      <c r="E5" s="12">
        <v>84.1</v>
      </c>
      <c r="F5" s="12">
        <v>96.9</v>
      </c>
      <c r="G5" s="94">
        <v>25030379</v>
      </c>
    </row>
    <row r="6" ht="16.5" spans="1:7">
      <c r="A6" s="39" t="s">
        <v>1059</v>
      </c>
      <c r="B6" s="9">
        <v>529.2</v>
      </c>
      <c r="C6" s="10">
        <v>158.4</v>
      </c>
      <c r="D6" s="11">
        <v>4.23</v>
      </c>
      <c r="E6" s="12">
        <v>78.2</v>
      </c>
      <c r="F6" s="12">
        <v>94.2</v>
      </c>
      <c r="G6" s="94">
        <v>25030457</v>
      </c>
    </row>
    <row r="7" ht="16.5" spans="1:7">
      <c r="A7" s="39" t="s">
        <v>1060</v>
      </c>
      <c r="B7" s="9">
        <v>474.2</v>
      </c>
      <c r="C7" s="10">
        <v>155.4</v>
      </c>
      <c r="D7" s="11">
        <v>4.11</v>
      </c>
      <c r="E7" s="12">
        <v>77.5</v>
      </c>
      <c r="F7" s="12">
        <v>94</v>
      </c>
      <c r="G7" s="94">
        <v>25030458</v>
      </c>
    </row>
    <row r="8" ht="16.5" spans="1:7">
      <c r="A8" s="39" t="s">
        <v>1061</v>
      </c>
      <c r="B8" s="9">
        <v>219</v>
      </c>
      <c r="C8" s="10">
        <v>216.3</v>
      </c>
      <c r="D8" s="11">
        <v>4.23</v>
      </c>
      <c r="E8" s="12">
        <v>90.6</v>
      </c>
      <c r="F8" s="12">
        <v>98.6</v>
      </c>
      <c r="G8" s="94">
        <v>25040146</v>
      </c>
    </row>
    <row r="9" ht="16.5" spans="1:7">
      <c r="A9" s="39" t="s">
        <v>1062</v>
      </c>
      <c r="B9" s="9">
        <v>413.6</v>
      </c>
      <c r="C9" s="10">
        <v>124.7</v>
      </c>
      <c r="D9" s="11">
        <v>3.24</v>
      </c>
      <c r="E9" s="12">
        <v>55</v>
      </c>
      <c r="F9" s="12">
        <v>82.4</v>
      </c>
      <c r="G9" s="94">
        <v>24120403</v>
      </c>
    </row>
    <row r="10" ht="16.5" spans="1:7">
      <c r="A10" s="39" t="s">
        <v>1063</v>
      </c>
      <c r="B10" s="9">
        <v>500.4</v>
      </c>
      <c r="C10" s="10">
        <v>267.4</v>
      </c>
      <c r="D10" s="11">
        <v>4.49</v>
      </c>
      <c r="E10" s="12">
        <v>90.3</v>
      </c>
      <c r="F10" s="12">
        <v>98.2</v>
      </c>
      <c r="G10" s="67">
        <v>25020011</v>
      </c>
    </row>
    <row r="11" ht="16.5" spans="1:7">
      <c r="A11" s="39" t="s">
        <v>929</v>
      </c>
      <c r="B11" s="9">
        <v>464.2</v>
      </c>
      <c r="C11" s="10">
        <v>259.3</v>
      </c>
      <c r="D11" s="11">
        <v>4.23</v>
      </c>
      <c r="E11" s="12">
        <v>87.2</v>
      </c>
      <c r="F11" s="12">
        <v>98.2</v>
      </c>
      <c r="G11" s="94">
        <v>25030226</v>
      </c>
    </row>
    <row r="12" ht="16.5" spans="1:7">
      <c r="A12" s="39" t="s">
        <v>1064</v>
      </c>
      <c r="B12" s="9">
        <v>505.8</v>
      </c>
      <c r="C12" s="10">
        <v>266.4</v>
      </c>
      <c r="D12" s="11">
        <v>3.85</v>
      </c>
      <c r="E12" s="12">
        <v>90.8</v>
      </c>
      <c r="F12" s="12">
        <v>98.1</v>
      </c>
      <c r="G12" s="94">
        <v>25020074</v>
      </c>
    </row>
    <row r="13" ht="16.5" spans="1:7">
      <c r="A13" s="39" t="s">
        <v>1065</v>
      </c>
      <c r="B13" s="9">
        <v>278.2</v>
      </c>
      <c r="C13" s="10">
        <v>140.1</v>
      </c>
      <c r="D13" s="11">
        <v>3.21</v>
      </c>
      <c r="E13" s="12">
        <v>78.3</v>
      </c>
      <c r="F13" s="12">
        <v>95</v>
      </c>
      <c r="G13" s="94">
        <v>25040330</v>
      </c>
    </row>
    <row r="14" ht="16.5" spans="1:7">
      <c r="A14" s="39" t="s">
        <v>1066</v>
      </c>
      <c r="B14" s="9">
        <v>374.6</v>
      </c>
      <c r="C14" s="10">
        <v>149.5</v>
      </c>
      <c r="D14" s="11">
        <v>3.15</v>
      </c>
      <c r="E14" s="12">
        <v>80</v>
      </c>
      <c r="F14" s="12">
        <v>95.2</v>
      </c>
      <c r="G14" s="67">
        <v>25040139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3 B4:C14"/>
  </dataValidations>
  <pageMargins left="0.75" right="0.75" top="1" bottom="1" header="0.5" footer="0.5"/>
  <pageSetup paperSize="9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H31" sqref="H31"/>
    </sheetView>
  </sheetViews>
  <sheetFormatPr defaultColWidth="9" defaultRowHeight="13.5" outlineLevelCol="6"/>
  <cols>
    <col min="1" max="1" width="15.625" customWidth="1"/>
    <col min="7" max="7" width="10.375"/>
  </cols>
  <sheetData>
    <row r="1" ht="16.5" spans="1:7">
      <c r="A1" s="116">
        <v>501</v>
      </c>
      <c r="B1" s="2">
        <f>SUM(B3:B23)</f>
        <v>4822.6</v>
      </c>
      <c r="C1" s="3" cm="1">
        <f t="array" ref="C1">SUMPRODUCT(C3:C23*B3:B23)/B1</f>
        <v>178.571475967321</v>
      </c>
      <c r="D1" s="4" cm="1">
        <f t="array" ref="D1">SUMPRODUCT(B3:B23*D3:D23)/B1</f>
        <v>3.96197860075478</v>
      </c>
      <c r="E1" s="3" cm="1">
        <f t="array" ref="E1">SUMPRODUCT(B3:B23*E3:E23)/B1</f>
        <v>78.1636046945631</v>
      </c>
      <c r="F1" s="3" cm="1">
        <f t="array" ref="F1">SUMPRODUCT(B3:B23*F3:F23)/B1</f>
        <v>93.4154315099739</v>
      </c>
    </row>
    <row r="2" ht="16.5" spans="1:7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104" t="s">
        <v>1067</v>
      </c>
      <c r="B3" s="105">
        <v>0</v>
      </c>
      <c r="C3" s="29">
        <v>134.9</v>
      </c>
      <c r="D3" s="106">
        <v>3.49</v>
      </c>
      <c r="E3" s="29">
        <v>82.6</v>
      </c>
      <c r="F3" s="29">
        <v>95.5</v>
      </c>
      <c r="G3" s="105">
        <v>24110485</v>
      </c>
    </row>
    <row r="4" ht="16.5" spans="1:7">
      <c r="A4" s="104" t="s">
        <v>1068</v>
      </c>
      <c r="B4" s="105">
        <v>504.6</v>
      </c>
      <c r="C4" s="29">
        <v>115.4</v>
      </c>
      <c r="D4" s="106">
        <v>2.83</v>
      </c>
      <c r="E4" s="29">
        <v>74.6</v>
      </c>
      <c r="F4" s="29">
        <v>93.8</v>
      </c>
      <c r="G4" s="118">
        <v>25010475</v>
      </c>
    </row>
    <row r="5" ht="16.5" spans="1:7">
      <c r="A5" s="104" t="s">
        <v>1069</v>
      </c>
      <c r="B5" s="105">
        <v>500.2</v>
      </c>
      <c r="C5" s="29">
        <v>175.1</v>
      </c>
      <c r="D5" s="106">
        <v>5.16</v>
      </c>
      <c r="E5" s="29">
        <v>70.1</v>
      </c>
      <c r="F5" s="29">
        <v>89.9</v>
      </c>
      <c r="G5" s="118">
        <v>25010587</v>
      </c>
    </row>
    <row r="6" ht="16.5" spans="1:7">
      <c r="A6" s="104" t="s">
        <v>1070</v>
      </c>
      <c r="B6" s="105">
        <v>523</v>
      </c>
      <c r="C6" s="29">
        <v>112.7</v>
      </c>
      <c r="D6" s="106">
        <v>2.77</v>
      </c>
      <c r="E6" s="29">
        <v>69.9</v>
      </c>
      <c r="F6" s="29">
        <v>89.5</v>
      </c>
      <c r="G6" s="118">
        <v>25030003</v>
      </c>
    </row>
    <row r="7" ht="16.5" spans="1:7">
      <c r="A7" s="104" t="s">
        <v>1071</v>
      </c>
      <c r="B7" s="105">
        <v>452.8</v>
      </c>
      <c r="C7" s="29">
        <v>112.9</v>
      </c>
      <c r="D7" s="106">
        <v>2.77</v>
      </c>
      <c r="E7" s="29">
        <v>69.9</v>
      </c>
      <c r="F7" s="29">
        <v>89.3</v>
      </c>
      <c r="G7" s="118">
        <v>25030004</v>
      </c>
    </row>
    <row r="8" ht="16.5" spans="1:7">
      <c r="A8" s="104" t="s">
        <v>1072</v>
      </c>
      <c r="B8" s="105">
        <v>526.6</v>
      </c>
      <c r="C8" s="29">
        <v>215.8</v>
      </c>
      <c r="D8" s="106">
        <v>4.17</v>
      </c>
      <c r="E8" s="29">
        <v>90.3</v>
      </c>
      <c r="F8" s="29">
        <v>98.8</v>
      </c>
      <c r="G8" s="118">
        <v>25040180</v>
      </c>
    </row>
    <row r="9" ht="16.5" spans="1:7">
      <c r="A9" s="104" t="s">
        <v>1073</v>
      </c>
      <c r="B9" s="105">
        <v>413.6</v>
      </c>
      <c r="C9" s="29">
        <v>242.9</v>
      </c>
      <c r="D9" s="106">
        <v>4.41</v>
      </c>
      <c r="E9" s="29">
        <v>91.8</v>
      </c>
      <c r="F9" s="29">
        <v>98.9</v>
      </c>
      <c r="G9" s="118">
        <v>25040337</v>
      </c>
    </row>
    <row r="10" ht="16.5" spans="1:7">
      <c r="A10" s="86" t="s">
        <v>1074</v>
      </c>
      <c r="B10" s="53">
        <v>507.4</v>
      </c>
      <c r="C10" s="17">
        <v>198.7</v>
      </c>
      <c r="D10" s="120">
        <v>4.91</v>
      </c>
      <c r="E10" s="17">
        <v>58.7</v>
      </c>
      <c r="F10" s="17">
        <v>83.5</v>
      </c>
      <c r="G10" s="53">
        <v>24120543</v>
      </c>
    </row>
    <row r="11" ht="16.5" spans="1:7">
      <c r="A11" s="86" t="s">
        <v>1075</v>
      </c>
      <c r="B11" s="53">
        <v>417.4</v>
      </c>
      <c r="C11" s="17">
        <v>243.8</v>
      </c>
      <c r="D11" s="120">
        <v>4.75</v>
      </c>
      <c r="E11" s="17">
        <v>89.4</v>
      </c>
      <c r="F11" s="17">
        <v>97.6</v>
      </c>
      <c r="G11" s="118">
        <v>25020013</v>
      </c>
    </row>
    <row r="12" ht="16.5" spans="1:7">
      <c r="A12" s="86" t="s">
        <v>1076</v>
      </c>
      <c r="B12" s="53">
        <v>527</v>
      </c>
      <c r="C12" s="17">
        <v>230.5</v>
      </c>
      <c r="D12" s="120">
        <v>4.32</v>
      </c>
      <c r="E12" s="17">
        <v>90.4</v>
      </c>
      <c r="F12" s="17">
        <v>99</v>
      </c>
      <c r="G12" s="118">
        <v>25040163</v>
      </c>
    </row>
    <row r="13" ht="16.5" spans="1:7">
      <c r="A13" s="86" t="s">
        <v>1077</v>
      </c>
      <c r="B13" s="53">
        <v>0</v>
      </c>
      <c r="C13" s="17">
        <v>207.4</v>
      </c>
      <c r="D13" s="120">
        <v>4.46</v>
      </c>
      <c r="E13" s="17">
        <v>88.6</v>
      </c>
      <c r="F13" s="17">
        <v>98</v>
      </c>
      <c r="G13" s="105">
        <v>25030488</v>
      </c>
    </row>
    <row r="14" ht="16.5" spans="1:7">
      <c r="A14" s="86" t="s">
        <v>1078</v>
      </c>
      <c r="B14" s="53">
        <v>450</v>
      </c>
      <c r="C14" s="17">
        <v>149.2</v>
      </c>
      <c r="D14" s="120">
        <v>3.61</v>
      </c>
      <c r="E14" s="17">
        <v>79.5</v>
      </c>
      <c r="F14" s="17">
        <v>95</v>
      </c>
      <c r="G14" s="53">
        <v>25040190</v>
      </c>
    </row>
    <row r="15" ht="16.5" spans="1:7">
      <c r="A15" s="86" t="s">
        <v>1079</v>
      </c>
      <c r="B15" s="53">
        <v>0</v>
      </c>
      <c r="C15" s="17">
        <v>146.1</v>
      </c>
      <c r="D15" s="120">
        <v>3.67</v>
      </c>
      <c r="E15" s="17">
        <v>80.1</v>
      </c>
      <c r="F15" s="17">
        <v>95.3</v>
      </c>
      <c r="G15" s="53">
        <v>25040210</v>
      </c>
    </row>
    <row r="16" spans="1:7">
      <c r="A16" s="70"/>
      <c r="B16" s="70"/>
      <c r="C16" s="70"/>
      <c r="D16" s="70"/>
      <c r="E16" s="70"/>
      <c r="F16" s="70"/>
      <c r="G16" s="70"/>
    </row>
  </sheetData>
  <conditionalFormatting sqref="A1:A2">
    <cfRule type="duplicateValues" dxfId="0" priority="2"/>
  </conditionalFormatting>
  <dataValidations count="1">
    <dataValidation allowBlank="1" showInputMessage="1" showErrorMessage="1" sqref="C8 B3:C7 B9:C15"/>
  </dataValidations>
  <pageMargins left="0.75" right="0.75" top="1" bottom="1" header="0.5" footer="0.5"/>
  <pageSetup paperSize="9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J17" sqref="J17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502</v>
      </c>
      <c r="B1" s="2">
        <f>SUM(B3:B25)</f>
        <v>10031.8</v>
      </c>
      <c r="C1" s="3" cm="1">
        <f t="array" ref="C1">SUMPRODUCT(C3:C25*B3:B25)/B1</f>
        <v>159.931449989035</v>
      </c>
      <c r="D1" s="4" cm="1">
        <f t="array" ref="D1">SUMPRODUCT(B3:B25*D3:D25)/B1</f>
        <v>3.75094519428218</v>
      </c>
      <c r="E1" s="3" cm="1">
        <f t="array" ref="E1">SUMPRODUCT(B3:B25*E3:E25)/B1</f>
        <v>75.4065810721904</v>
      </c>
      <c r="F1" s="3" cm="1">
        <f t="array" ref="F1">SUMPRODUCT(B3:B25*F3:F25)/B1</f>
        <v>92.8499830538887</v>
      </c>
    </row>
    <row r="2" ht="16.5" spans="1:7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0"/>
    </row>
    <row r="3" ht="16.5" spans="1:7">
      <c r="A3" s="75" t="s">
        <v>1080</v>
      </c>
      <c r="B3" s="9">
        <v>271.6</v>
      </c>
      <c r="C3" s="10">
        <v>99.4</v>
      </c>
      <c r="D3" s="11">
        <v>2.67</v>
      </c>
      <c r="E3" s="12">
        <v>56.1</v>
      </c>
      <c r="F3" s="12">
        <v>85.4</v>
      </c>
      <c r="G3" s="94">
        <v>24120326</v>
      </c>
    </row>
    <row r="4" ht="16.5" spans="1:7">
      <c r="A4" s="75" t="s">
        <v>1081</v>
      </c>
      <c r="B4" s="9">
        <v>533.2</v>
      </c>
      <c r="C4" s="10">
        <v>93.7</v>
      </c>
      <c r="D4" s="11">
        <v>2.61</v>
      </c>
      <c r="E4" s="12">
        <v>54.8</v>
      </c>
      <c r="F4" s="12">
        <v>81.4</v>
      </c>
      <c r="G4" s="94">
        <v>24120380</v>
      </c>
    </row>
    <row r="5" ht="16.5" spans="1:7">
      <c r="A5" s="75" t="s">
        <v>1082</v>
      </c>
      <c r="B5" s="9">
        <v>221.2</v>
      </c>
      <c r="C5" s="10">
        <v>110.8</v>
      </c>
      <c r="D5" s="11">
        <v>3.15</v>
      </c>
      <c r="E5" s="12">
        <v>55.2</v>
      </c>
      <c r="F5" s="12">
        <v>82.2</v>
      </c>
      <c r="G5" s="94">
        <v>24120423</v>
      </c>
    </row>
    <row r="6" ht="16.5" spans="1:7">
      <c r="A6" s="75" t="s">
        <v>1083</v>
      </c>
      <c r="B6" s="9">
        <v>365.4</v>
      </c>
      <c r="C6" s="10">
        <v>118.5</v>
      </c>
      <c r="D6" s="11">
        <v>3.24</v>
      </c>
      <c r="E6" s="12">
        <v>49.6</v>
      </c>
      <c r="F6" s="12">
        <v>78.6</v>
      </c>
      <c r="G6" s="94">
        <v>24120425</v>
      </c>
    </row>
    <row r="7" ht="16.5" spans="1:7">
      <c r="A7" s="75" t="s">
        <v>940</v>
      </c>
      <c r="B7" s="9">
        <v>500.4</v>
      </c>
      <c r="C7" s="10">
        <v>288.8</v>
      </c>
      <c r="D7" s="11">
        <v>5.46</v>
      </c>
      <c r="E7" s="12">
        <v>83</v>
      </c>
      <c r="F7" s="12">
        <v>96.7</v>
      </c>
      <c r="G7" s="94">
        <v>24110515</v>
      </c>
    </row>
    <row r="8" ht="16.5" spans="1:7">
      <c r="A8" s="75" t="s">
        <v>942</v>
      </c>
      <c r="B8" s="9">
        <v>249.8</v>
      </c>
      <c r="C8" s="10">
        <v>282.3</v>
      </c>
      <c r="D8" s="11">
        <v>4.82</v>
      </c>
      <c r="E8" s="12">
        <v>90.9</v>
      </c>
      <c r="F8" s="12">
        <v>98.2</v>
      </c>
      <c r="G8" s="94">
        <v>24120037</v>
      </c>
    </row>
    <row r="9" ht="16.5" spans="1:7">
      <c r="A9" s="75" t="s">
        <v>945</v>
      </c>
      <c r="B9" s="9">
        <v>381.4</v>
      </c>
      <c r="C9" s="10">
        <v>266.2</v>
      </c>
      <c r="D9" s="11">
        <v>5.24</v>
      </c>
      <c r="E9" s="12">
        <v>90.2</v>
      </c>
      <c r="F9" s="12">
        <v>98.3</v>
      </c>
      <c r="G9" s="94">
        <v>24120044</v>
      </c>
    </row>
    <row r="10" ht="16.5" spans="1:7">
      <c r="A10" s="75" t="s">
        <v>1084</v>
      </c>
      <c r="B10" s="9">
        <v>529.2</v>
      </c>
      <c r="C10" s="10">
        <v>206.1</v>
      </c>
      <c r="D10" s="11">
        <v>4.61</v>
      </c>
      <c r="E10" s="12">
        <v>89.6</v>
      </c>
      <c r="F10" s="12">
        <v>98.3</v>
      </c>
      <c r="G10" s="94">
        <v>25010605</v>
      </c>
    </row>
    <row r="11" ht="16.5" spans="1:7">
      <c r="A11" s="75" t="s">
        <v>1085</v>
      </c>
      <c r="B11" s="9">
        <v>470</v>
      </c>
      <c r="C11" s="10">
        <v>108.1</v>
      </c>
      <c r="D11" s="11">
        <v>2.96</v>
      </c>
      <c r="E11" s="12">
        <v>64</v>
      </c>
      <c r="F11" s="12">
        <v>88.5</v>
      </c>
      <c r="G11" s="94">
        <v>25020229</v>
      </c>
    </row>
    <row r="12" ht="16.5" spans="1:7">
      <c r="A12" s="75" t="s">
        <v>1086</v>
      </c>
      <c r="B12" s="9">
        <v>419.6</v>
      </c>
      <c r="C12" s="10">
        <v>141.2</v>
      </c>
      <c r="D12" s="11">
        <v>3.46</v>
      </c>
      <c r="E12" s="12">
        <v>81.4</v>
      </c>
      <c r="F12" s="12">
        <v>96.7</v>
      </c>
      <c r="G12" s="94">
        <v>25030201</v>
      </c>
    </row>
    <row r="13" ht="16.5" spans="1:7">
      <c r="A13" s="75" t="s">
        <v>1087</v>
      </c>
      <c r="B13" s="9">
        <v>500.4</v>
      </c>
      <c r="C13" s="10">
        <v>121.5</v>
      </c>
      <c r="D13" s="11">
        <v>3.15</v>
      </c>
      <c r="E13" s="12">
        <v>74.5</v>
      </c>
      <c r="F13" s="12">
        <v>94.2</v>
      </c>
      <c r="G13" s="94">
        <v>25030342</v>
      </c>
    </row>
    <row r="14" ht="16.5" spans="1:7">
      <c r="A14" s="75" t="s">
        <v>1088</v>
      </c>
      <c r="B14" s="9">
        <v>525.4</v>
      </c>
      <c r="C14" s="10">
        <v>121.4</v>
      </c>
      <c r="D14" s="11">
        <v>3.28</v>
      </c>
      <c r="E14" s="12">
        <v>77.7</v>
      </c>
      <c r="F14" s="12">
        <v>96.1</v>
      </c>
      <c r="G14" s="94">
        <v>25030343</v>
      </c>
    </row>
    <row r="15" ht="16.5" spans="1:7">
      <c r="A15" s="75" t="s">
        <v>1089</v>
      </c>
      <c r="B15" s="9">
        <v>363</v>
      </c>
      <c r="C15" s="10">
        <v>123.7</v>
      </c>
      <c r="D15" s="11">
        <v>3.36</v>
      </c>
      <c r="E15" s="12">
        <v>78.9</v>
      </c>
      <c r="F15" s="12">
        <v>96.5</v>
      </c>
      <c r="G15" s="94">
        <v>25030344</v>
      </c>
    </row>
    <row r="16" ht="16.5" spans="1:7">
      <c r="A16" s="75" t="s">
        <v>1090</v>
      </c>
      <c r="B16" s="9">
        <v>494.8</v>
      </c>
      <c r="C16" s="10">
        <v>272</v>
      </c>
      <c r="D16" s="11">
        <v>5.6</v>
      </c>
      <c r="E16" s="12">
        <v>86.5</v>
      </c>
      <c r="F16" s="12">
        <v>96.9</v>
      </c>
      <c r="G16" s="94">
        <v>24120511</v>
      </c>
    </row>
    <row r="17" ht="16.5" spans="1:7">
      <c r="A17" s="75" t="s">
        <v>1091</v>
      </c>
      <c r="B17" s="9">
        <v>431</v>
      </c>
      <c r="C17" s="10">
        <v>272.7</v>
      </c>
      <c r="D17" s="11">
        <v>5.55</v>
      </c>
      <c r="E17" s="12">
        <v>86.9</v>
      </c>
      <c r="F17" s="12">
        <v>97.2</v>
      </c>
      <c r="G17" s="94">
        <v>24120512</v>
      </c>
    </row>
    <row r="18" ht="16.5" spans="1:7">
      <c r="A18" s="75" t="s">
        <v>1092</v>
      </c>
      <c r="B18" s="9">
        <v>533</v>
      </c>
      <c r="C18" s="10">
        <v>124.5</v>
      </c>
      <c r="D18" s="11">
        <v>3.36</v>
      </c>
      <c r="E18" s="12">
        <v>79.8</v>
      </c>
      <c r="F18" s="12">
        <v>95.5</v>
      </c>
      <c r="G18" s="94">
        <v>25030400</v>
      </c>
    </row>
    <row r="19" ht="16.5" spans="1:7">
      <c r="A19" s="75" t="s">
        <v>1093</v>
      </c>
      <c r="B19" s="9">
        <v>745.6</v>
      </c>
      <c r="C19" s="10">
        <v>129</v>
      </c>
      <c r="D19" s="11">
        <v>3.15</v>
      </c>
      <c r="E19" s="12">
        <v>82.9</v>
      </c>
      <c r="F19" s="12">
        <v>97.6</v>
      </c>
      <c r="G19" s="94">
        <v>25030381</v>
      </c>
    </row>
    <row r="20" ht="16.5" spans="1:7">
      <c r="A20" s="75" t="s">
        <v>1094</v>
      </c>
      <c r="B20" s="9">
        <v>507</v>
      </c>
      <c r="C20" s="10">
        <v>134.3</v>
      </c>
      <c r="D20" s="11">
        <v>3.49</v>
      </c>
      <c r="E20" s="12">
        <v>53.9</v>
      </c>
      <c r="F20" s="12">
        <v>80.4</v>
      </c>
      <c r="G20" s="94">
        <v>24120476</v>
      </c>
    </row>
    <row r="21" ht="16.5" spans="1:7">
      <c r="A21" s="75" t="s">
        <v>1095</v>
      </c>
      <c r="B21" s="9">
        <v>491</v>
      </c>
      <c r="C21" s="10">
        <v>156.1</v>
      </c>
      <c r="D21" s="11">
        <v>4.26</v>
      </c>
      <c r="E21" s="12">
        <v>73.3</v>
      </c>
      <c r="F21" s="12">
        <v>91.9</v>
      </c>
      <c r="G21" s="94">
        <v>25020251</v>
      </c>
    </row>
    <row r="22" ht="16.5" spans="1:7">
      <c r="A22" s="144" t="s">
        <v>1096</v>
      </c>
      <c r="B22" s="34">
        <v>496</v>
      </c>
      <c r="C22" s="35">
        <v>126.8</v>
      </c>
      <c r="D22" s="36">
        <v>2.99</v>
      </c>
      <c r="E22" s="37">
        <v>71.7</v>
      </c>
      <c r="F22" s="37">
        <v>91</v>
      </c>
      <c r="G22" s="94">
        <v>25030480</v>
      </c>
    </row>
    <row r="23" ht="16.5" spans="1:7">
      <c r="A23" s="75" t="s">
        <v>1097</v>
      </c>
      <c r="B23" s="9">
        <v>505.8</v>
      </c>
      <c r="C23" s="10">
        <v>126.8</v>
      </c>
      <c r="D23" s="11">
        <v>3.12</v>
      </c>
      <c r="E23" s="12">
        <v>78.7</v>
      </c>
      <c r="F23" s="12">
        <v>94.9</v>
      </c>
      <c r="G23" s="94">
        <v>25040009</v>
      </c>
    </row>
    <row r="24" ht="16.5" spans="1:7">
      <c r="A24" s="121" t="s">
        <v>1098</v>
      </c>
      <c r="B24" s="14">
        <v>497</v>
      </c>
      <c r="C24" s="15">
        <v>136.9</v>
      </c>
      <c r="D24" s="16">
        <v>3.36</v>
      </c>
      <c r="E24" s="17">
        <v>83.2</v>
      </c>
      <c r="F24" s="17">
        <v>96.9</v>
      </c>
      <c r="G24" s="85">
        <v>25040173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24 B3:C23"/>
  </dataValidations>
  <pageMargins left="0.75" right="0.75" top="1" bottom="1" header="0.5" footer="0.5"/>
  <pageSetup paperSize="9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J1" sqref="J$1:O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503</v>
      </c>
      <c r="B1" s="2">
        <f>SUM(B3:B30)</f>
        <v>10006.6</v>
      </c>
      <c r="C1" s="3" cm="1">
        <f t="array" ref="C1">SUMPRODUCT(C3:C30*B3:B30)/B1</f>
        <v>157.211492415006</v>
      </c>
      <c r="D1" s="4" cm="1">
        <f t="array" ref="D1">SUMPRODUCT(B3:B30*D3:D30)/B1</f>
        <v>3.79761057701917</v>
      </c>
      <c r="E1" s="3" cm="1">
        <f t="array" ref="E1">SUMPRODUCT(B3:B30*E3:E30)/B1</f>
        <v>77.7893750124917</v>
      </c>
      <c r="F1" s="3" cm="1">
        <f t="array" ref="F1">SUMPRODUCT(B3:B30*F3:F30)/B1</f>
        <v>94.126464533408</v>
      </c>
    </row>
    <row r="2" ht="16.5" spans="1:7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1099</v>
      </c>
      <c r="B3" s="9">
        <v>500.2</v>
      </c>
      <c r="C3" s="10">
        <v>135.5</v>
      </c>
      <c r="D3" s="11">
        <v>3.99</v>
      </c>
      <c r="E3" s="12">
        <v>71.5</v>
      </c>
      <c r="F3" s="12">
        <v>90.9</v>
      </c>
      <c r="G3" s="34">
        <v>25050086</v>
      </c>
    </row>
    <row r="4" ht="16.5" spans="1:7">
      <c r="A4" s="39" t="s">
        <v>1100</v>
      </c>
      <c r="B4" s="9">
        <v>410.4</v>
      </c>
      <c r="C4" s="10">
        <v>135.3</v>
      </c>
      <c r="D4" s="11">
        <v>3.7</v>
      </c>
      <c r="E4" s="12">
        <v>70.8</v>
      </c>
      <c r="F4" s="12">
        <v>90.7</v>
      </c>
      <c r="G4" s="34">
        <v>25050087</v>
      </c>
    </row>
    <row r="5" ht="16.5" spans="1:7">
      <c r="A5" s="39" t="s">
        <v>1101</v>
      </c>
      <c r="B5" s="9">
        <v>420.6</v>
      </c>
      <c r="C5" s="10">
        <v>143</v>
      </c>
      <c r="D5" s="11">
        <v>3.97</v>
      </c>
      <c r="E5" s="12">
        <v>68.6</v>
      </c>
      <c r="F5" s="12">
        <v>90.1</v>
      </c>
      <c r="G5" s="34">
        <v>25040528</v>
      </c>
    </row>
    <row r="6" ht="16.5" spans="1:7">
      <c r="A6" s="39" t="s">
        <v>1102</v>
      </c>
      <c r="B6" s="9">
        <v>347.4</v>
      </c>
      <c r="C6" s="10">
        <v>98.6</v>
      </c>
      <c r="D6" s="11">
        <v>2.67</v>
      </c>
      <c r="E6" s="12">
        <v>73.9</v>
      </c>
      <c r="F6" s="12">
        <v>94.5</v>
      </c>
      <c r="G6" s="94">
        <v>25040443</v>
      </c>
    </row>
    <row r="7" ht="16.5" spans="1:7">
      <c r="A7" s="39" t="s">
        <v>1103</v>
      </c>
      <c r="B7" s="9">
        <v>511</v>
      </c>
      <c r="C7" s="10">
        <v>95.4</v>
      </c>
      <c r="D7" s="11">
        <v>2.54</v>
      </c>
      <c r="E7" s="12">
        <v>73.8</v>
      </c>
      <c r="F7" s="12">
        <v>94.7</v>
      </c>
      <c r="G7" s="94">
        <v>25040444</v>
      </c>
    </row>
    <row r="8" ht="16.5" spans="1:7">
      <c r="A8" s="39" t="s">
        <v>1104</v>
      </c>
      <c r="B8" s="9">
        <v>525.4</v>
      </c>
      <c r="C8" s="10">
        <v>85.2</v>
      </c>
      <c r="D8" s="11">
        <v>2.44</v>
      </c>
      <c r="E8" s="12">
        <v>73.9</v>
      </c>
      <c r="F8" s="12">
        <v>95</v>
      </c>
      <c r="G8" s="34">
        <v>25040445</v>
      </c>
    </row>
    <row r="9" ht="16.5" spans="1:7">
      <c r="A9" s="39" t="s">
        <v>1105</v>
      </c>
      <c r="B9" s="9">
        <v>483</v>
      </c>
      <c r="C9" s="10">
        <v>240.6</v>
      </c>
      <c r="D9" s="11">
        <v>5.24</v>
      </c>
      <c r="E9" s="12">
        <v>87</v>
      </c>
      <c r="F9" s="12">
        <v>97.5</v>
      </c>
      <c r="G9" s="34">
        <v>25040559</v>
      </c>
    </row>
    <row r="10" ht="16.5" spans="1:7">
      <c r="A10" s="39" t="s">
        <v>1106</v>
      </c>
      <c r="B10" s="9">
        <v>489.6</v>
      </c>
      <c r="C10" s="10">
        <v>223.7</v>
      </c>
      <c r="D10" s="11">
        <v>5.49</v>
      </c>
      <c r="E10" s="12">
        <v>83.1</v>
      </c>
      <c r="F10" s="12">
        <v>95.5</v>
      </c>
      <c r="G10" s="34">
        <v>25040560</v>
      </c>
    </row>
    <row r="11" ht="16.5" spans="1:7">
      <c r="A11" s="39" t="s">
        <v>1107</v>
      </c>
      <c r="B11" s="9">
        <v>300.4</v>
      </c>
      <c r="C11" s="10">
        <v>151.3</v>
      </c>
      <c r="D11" s="11">
        <v>3.77</v>
      </c>
      <c r="E11" s="12">
        <v>75.3</v>
      </c>
      <c r="F11" s="12">
        <v>93.6</v>
      </c>
      <c r="G11" s="34">
        <v>25050004</v>
      </c>
    </row>
    <row r="12" ht="16.5" spans="1:7">
      <c r="A12" s="39" t="s">
        <v>1108</v>
      </c>
      <c r="B12" s="9">
        <v>300</v>
      </c>
      <c r="C12" s="10">
        <v>119.7</v>
      </c>
      <c r="D12" s="11">
        <v>3.12</v>
      </c>
      <c r="E12" s="12">
        <v>74.7</v>
      </c>
      <c r="F12" s="12">
        <v>93</v>
      </c>
      <c r="G12" s="34">
        <v>25050005</v>
      </c>
    </row>
    <row r="13" ht="16.5" spans="1:7">
      <c r="A13" s="39" t="s">
        <v>1109</v>
      </c>
      <c r="B13" s="9">
        <v>387</v>
      </c>
      <c r="C13" s="10">
        <v>116.4</v>
      </c>
      <c r="D13" s="11">
        <v>3.12</v>
      </c>
      <c r="E13" s="12">
        <v>74.5</v>
      </c>
      <c r="F13" s="12">
        <v>92.2</v>
      </c>
      <c r="G13" s="34">
        <v>25050006</v>
      </c>
    </row>
    <row r="14" ht="16.5" spans="1:7">
      <c r="A14" s="39" t="s">
        <v>1110</v>
      </c>
      <c r="B14" s="9">
        <v>329</v>
      </c>
      <c r="C14" s="10">
        <v>113</v>
      </c>
      <c r="D14" s="11">
        <v>3.03</v>
      </c>
      <c r="E14" s="12">
        <v>74.4</v>
      </c>
      <c r="F14" s="12">
        <v>93.2</v>
      </c>
      <c r="G14" s="34">
        <v>25050007</v>
      </c>
    </row>
    <row r="15" ht="16.5" spans="1:7">
      <c r="A15" s="39" t="s">
        <v>1111</v>
      </c>
      <c r="B15" s="9">
        <v>464.4</v>
      </c>
      <c r="C15" s="10">
        <v>223.7</v>
      </c>
      <c r="D15" s="11">
        <v>4.49</v>
      </c>
      <c r="E15" s="12">
        <v>85.9</v>
      </c>
      <c r="F15" s="12">
        <v>96.7</v>
      </c>
      <c r="G15" s="34">
        <v>25050015</v>
      </c>
    </row>
    <row r="16" ht="16.5" spans="1:7">
      <c r="A16" s="39" t="s">
        <v>1112</v>
      </c>
      <c r="B16" s="9">
        <v>500.8</v>
      </c>
      <c r="C16" s="10">
        <v>226.6</v>
      </c>
      <c r="D16" s="11">
        <v>5.3</v>
      </c>
      <c r="E16" s="12">
        <v>83.6</v>
      </c>
      <c r="F16" s="12">
        <v>95.9</v>
      </c>
      <c r="G16" s="34">
        <v>25050016</v>
      </c>
    </row>
    <row r="17" ht="16.5" spans="1:7">
      <c r="A17" s="39" t="s">
        <v>1113</v>
      </c>
      <c r="B17" s="9">
        <v>498.4</v>
      </c>
      <c r="C17" s="10">
        <v>195.5</v>
      </c>
      <c r="D17" s="11">
        <v>4.72</v>
      </c>
      <c r="E17" s="12">
        <v>75.6</v>
      </c>
      <c r="F17" s="12">
        <v>92.2</v>
      </c>
      <c r="G17" s="34">
        <v>25050002</v>
      </c>
    </row>
    <row r="18" ht="16.5" spans="1:7">
      <c r="A18" s="39" t="s">
        <v>1114</v>
      </c>
      <c r="B18" s="9">
        <v>475</v>
      </c>
      <c r="C18" s="10">
        <v>166.4</v>
      </c>
      <c r="D18" s="11">
        <v>4.17</v>
      </c>
      <c r="E18" s="12">
        <v>74.8</v>
      </c>
      <c r="F18" s="12">
        <v>92.3</v>
      </c>
      <c r="G18" s="34">
        <v>25050003</v>
      </c>
    </row>
    <row r="19" ht="16.5" spans="1:7">
      <c r="A19" s="39" t="s">
        <v>1115</v>
      </c>
      <c r="B19" s="9">
        <v>473.6</v>
      </c>
      <c r="C19" s="10">
        <v>138.6</v>
      </c>
      <c r="D19" s="11">
        <v>3.21</v>
      </c>
      <c r="E19" s="12">
        <v>79</v>
      </c>
      <c r="F19" s="12">
        <v>94.4</v>
      </c>
      <c r="G19" s="34">
        <v>25050048</v>
      </c>
    </row>
    <row r="20" ht="16.5" spans="1:7">
      <c r="A20" s="39" t="s">
        <v>1116</v>
      </c>
      <c r="B20" s="9">
        <v>434</v>
      </c>
      <c r="C20" s="10">
        <v>137.3</v>
      </c>
      <c r="D20" s="11">
        <v>3.21</v>
      </c>
      <c r="E20" s="12">
        <v>78.9</v>
      </c>
      <c r="F20" s="12">
        <v>94.1</v>
      </c>
      <c r="G20" s="34">
        <v>25050049</v>
      </c>
    </row>
    <row r="21" ht="16.5" spans="1:7">
      <c r="A21" s="39" t="s">
        <v>1117</v>
      </c>
      <c r="B21" s="9">
        <v>459.6</v>
      </c>
      <c r="C21" s="10">
        <v>121.1</v>
      </c>
      <c r="D21" s="11">
        <v>3.12</v>
      </c>
      <c r="E21" s="12">
        <v>82</v>
      </c>
      <c r="F21" s="12">
        <v>96.6</v>
      </c>
      <c r="G21" s="34">
        <v>25050047</v>
      </c>
    </row>
    <row r="22" ht="16.5" spans="1:7">
      <c r="A22" s="39" t="s">
        <v>1118</v>
      </c>
      <c r="B22" s="9">
        <v>490.2</v>
      </c>
      <c r="C22" s="10">
        <v>124.1</v>
      </c>
      <c r="D22" s="11">
        <v>2.96</v>
      </c>
      <c r="E22" s="12">
        <v>79.1</v>
      </c>
      <c r="F22" s="12">
        <v>95.5</v>
      </c>
      <c r="G22" s="34">
        <v>25050026</v>
      </c>
    </row>
    <row r="23" ht="16.5" spans="1:7">
      <c r="A23" s="39" t="s">
        <v>1119</v>
      </c>
      <c r="B23" s="9">
        <v>345</v>
      </c>
      <c r="C23" s="10">
        <v>120.6</v>
      </c>
      <c r="D23" s="11">
        <v>2.7</v>
      </c>
      <c r="E23" s="12">
        <v>77.5</v>
      </c>
      <c r="F23" s="12">
        <v>94.9</v>
      </c>
      <c r="G23" s="34">
        <v>25050027</v>
      </c>
    </row>
    <row r="24" ht="16.5" spans="1:7">
      <c r="A24" s="158"/>
      <c r="B24" s="19">
        <v>360</v>
      </c>
      <c r="C24" s="19">
        <v>155</v>
      </c>
      <c r="D24" s="19">
        <v>3.7</v>
      </c>
      <c r="E24" s="19">
        <v>76</v>
      </c>
      <c r="F24" s="19">
        <v>92</v>
      </c>
      <c r="G24" s="158"/>
    </row>
    <row r="25" ht="16.5" spans="1:7">
      <c r="A25" s="39" t="s">
        <v>1120</v>
      </c>
      <c r="B25" s="9">
        <v>501.6</v>
      </c>
      <c r="C25" s="10">
        <v>278.4</v>
      </c>
      <c r="D25" s="11">
        <v>5.35</v>
      </c>
      <c r="E25" s="12">
        <v>88.3</v>
      </c>
      <c r="F25" s="12">
        <v>96.9</v>
      </c>
      <c r="G25" s="67">
        <v>24120136</v>
      </c>
    </row>
    <row r="27" ht="16.5" spans="1:7">
      <c r="A27" s="23"/>
      <c r="B27" s="14"/>
      <c r="C27" s="15"/>
      <c r="D27" s="16"/>
      <c r="E27" s="17"/>
      <c r="F27" s="17"/>
      <c r="G27" s="14"/>
    </row>
    <row r="28" s="152" customFormat="1" ht="16.5" spans="1:7">
      <c r="A28" s="23"/>
      <c r="B28" s="14"/>
      <c r="C28" s="15"/>
      <c r="D28" s="16"/>
      <c r="E28" s="17"/>
      <c r="F28" s="17"/>
      <c r="G28" s="14"/>
    </row>
    <row r="29" ht="16.5" spans="1:7">
      <c r="A29" s="23"/>
      <c r="B29" s="14"/>
      <c r="C29" s="15"/>
      <c r="D29" s="16"/>
      <c r="E29" s="17"/>
      <c r="F29" s="17"/>
      <c r="G29" s="14"/>
    </row>
    <row r="30" ht="16.5" spans="1:7">
      <c r="A30" s="23"/>
      <c r="B30" s="14"/>
      <c r="C30" s="15"/>
      <c r="D30" s="16"/>
      <c r="E30" s="17"/>
      <c r="F30" s="17"/>
      <c r="G30" s="14"/>
    </row>
    <row r="31" ht="16.5" spans="1:7">
      <c r="A31" s="23"/>
      <c r="B31" s="14"/>
      <c r="C31" s="15"/>
      <c r="D31" s="16"/>
      <c r="E31" s="17"/>
      <c r="F31" s="17"/>
      <c r="G31" s="14"/>
    </row>
    <row r="32" ht="16.5" spans="1:7">
      <c r="A32" s="23"/>
      <c r="B32" s="14"/>
      <c r="C32" s="15"/>
      <c r="D32" s="16"/>
      <c r="E32" s="17"/>
      <c r="F32" s="17"/>
      <c r="G32" s="14"/>
    </row>
    <row r="33" ht="16.5" spans="1:7">
      <c r="A33" s="23"/>
      <c r="B33" s="14"/>
      <c r="C33" s="15"/>
      <c r="D33" s="16"/>
      <c r="E33" s="17"/>
      <c r="F33" s="17"/>
      <c r="G33" s="14"/>
    </row>
    <row r="34" ht="16.5" spans="1:7">
      <c r="A34" s="23"/>
      <c r="B34" s="14"/>
      <c r="C34" s="15"/>
      <c r="D34" s="16"/>
      <c r="E34" s="17"/>
      <c r="F34" s="17"/>
      <c r="G34" s="14"/>
    </row>
    <row r="35" ht="16.5" spans="1:7">
      <c r="A35" s="23"/>
      <c r="B35" s="14"/>
      <c r="C35" s="15"/>
      <c r="D35" s="16"/>
      <c r="E35" s="17"/>
      <c r="F35" s="17"/>
      <c r="G35" s="14"/>
    </row>
  </sheetData>
  <conditionalFormatting sqref="A1:A2">
    <cfRule type="duplicateValues" dxfId="0" priority="1"/>
  </conditionalFormatting>
  <dataValidations count="1">
    <dataValidation allowBlank="1" showInputMessage="1" showErrorMessage="1" sqref="B25:C25 B3:C23 B27:C35"/>
  </dataValidations>
  <pageMargins left="0.75" right="0.75" top="1" bottom="1" header="0.5" footer="0.5"/>
  <pageSetup paperSize="9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J1" sqref="J$1:O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504</v>
      </c>
      <c r="B1" s="2">
        <f>SUM(B3:B30)</f>
        <v>10050</v>
      </c>
      <c r="C1" s="3" cm="1">
        <f t="array" ref="C1">SUMPRODUCT(C3:C30*B3:B30)/B1</f>
        <v>130.97287761194</v>
      </c>
      <c r="D1" s="4" cm="1">
        <f t="array" ref="D1">SUMPRODUCT(B3:B30*D3:D30)/B1</f>
        <v>3.38132179104478</v>
      </c>
      <c r="E1" s="3" cm="1">
        <f t="array" ref="E1">SUMPRODUCT(B3:B30*E3:E30)/B1</f>
        <v>75.9369373134328</v>
      </c>
      <c r="F1" s="3" cm="1">
        <f t="array" ref="F1">SUMPRODUCT(B3:B30*F3:F30)/B1</f>
        <v>93.476704477612</v>
      </c>
      <c r="G1" s="3" cm="1">
        <f t="array" ref="G1">SUMPRODUCT(B3:B30*G3:G30)/B1</f>
        <v>9.61467462686567</v>
      </c>
    </row>
    <row r="2" ht="16.5" spans="1:8">
      <c r="A2" s="6">
        <v>120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52" t="s">
        <v>1121</v>
      </c>
    </row>
    <row r="3" ht="16.5" spans="1:8">
      <c r="A3" s="39" t="s">
        <v>1122</v>
      </c>
      <c r="B3" s="9">
        <v>415.4</v>
      </c>
      <c r="C3" s="10">
        <v>129</v>
      </c>
      <c r="D3" s="11">
        <v>3.4</v>
      </c>
      <c r="E3" s="12">
        <v>78.8</v>
      </c>
      <c r="F3" s="12">
        <v>95</v>
      </c>
      <c r="G3" s="10">
        <v>9</v>
      </c>
      <c r="H3" s="157">
        <v>25030461</v>
      </c>
    </row>
    <row r="4" ht="16.5" spans="1:8">
      <c r="A4" s="39" t="s">
        <v>1123</v>
      </c>
      <c r="B4" s="9">
        <v>537</v>
      </c>
      <c r="C4" s="10">
        <v>120.9</v>
      </c>
      <c r="D4" s="11">
        <v>2.9</v>
      </c>
      <c r="E4" s="12">
        <v>78</v>
      </c>
      <c r="F4" s="12">
        <v>94.2</v>
      </c>
      <c r="G4" s="10">
        <v>9.2</v>
      </c>
      <c r="H4" s="157">
        <v>25040175</v>
      </c>
    </row>
    <row r="5" ht="16.5" spans="1:8">
      <c r="A5" s="39" t="s">
        <v>1124</v>
      </c>
      <c r="B5" s="9">
        <v>607.4</v>
      </c>
      <c r="C5" s="10">
        <v>123.1</v>
      </c>
      <c r="D5" s="11">
        <v>2.96</v>
      </c>
      <c r="E5" s="12">
        <v>78</v>
      </c>
      <c r="F5" s="12">
        <v>94.3</v>
      </c>
      <c r="G5" s="10">
        <v>9.2</v>
      </c>
      <c r="H5" s="56">
        <v>25040176</v>
      </c>
    </row>
    <row r="6" ht="16.5" spans="1:8">
      <c r="A6" s="39" t="s">
        <v>640</v>
      </c>
      <c r="B6" s="9">
        <v>535.4</v>
      </c>
      <c r="C6" s="10">
        <v>90.5</v>
      </c>
      <c r="D6" s="11">
        <v>2.51</v>
      </c>
      <c r="E6" s="12">
        <v>57.5</v>
      </c>
      <c r="F6" s="12">
        <v>82.1</v>
      </c>
      <c r="G6" s="10">
        <v>8.1</v>
      </c>
      <c r="H6" s="56">
        <v>25020345</v>
      </c>
    </row>
    <row r="7" ht="16.5" spans="1:8">
      <c r="A7" s="39" t="s">
        <v>1125</v>
      </c>
      <c r="B7" s="9">
        <v>798.4</v>
      </c>
      <c r="C7" s="10">
        <v>116.9</v>
      </c>
      <c r="D7" s="11">
        <v>2.8</v>
      </c>
      <c r="E7" s="12">
        <v>75.5</v>
      </c>
      <c r="F7" s="12">
        <v>94.6</v>
      </c>
      <c r="G7" s="10">
        <v>11.5</v>
      </c>
      <c r="H7" s="56">
        <v>25040158</v>
      </c>
    </row>
    <row r="8" ht="16.5" spans="1:8">
      <c r="A8" s="39" t="s">
        <v>1126</v>
      </c>
      <c r="B8" s="9">
        <v>508.4</v>
      </c>
      <c r="C8" s="10">
        <v>137.5</v>
      </c>
      <c r="D8" s="11">
        <v>3.31</v>
      </c>
      <c r="E8" s="12">
        <v>83.2</v>
      </c>
      <c r="F8" s="12">
        <v>96.8</v>
      </c>
      <c r="G8" s="10">
        <v>10.2</v>
      </c>
      <c r="H8" s="56">
        <v>25040174</v>
      </c>
    </row>
    <row r="9" ht="16.5" spans="1:8">
      <c r="A9" s="39" t="s">
        <v>1127</v>
      </c>
      <c r="B9" s="9">
        <v>317.6</v>
      </c>
      <c r="C9" s="10">
        <v>222.6</v>
      </c>
      <c r="D9" s="11">
        <v>5.16</v>
      </c>
      <c r="E9" s="12">
        <v>86.7</v>
      </c>
      <c r="F9" s="12">
        <v>97.8</v>
      </c>
      <c r="G9" s="10">
        <v>9.9</v>
      </c>
      <c r="H9" s="56">
        <v>25040152</v>
      </c>
    </row>
    <row r="10" ht="16.5" spans="1:8">
      <c r="A10" s="39" t="s">
        <v>1128</v>
      </c>
      <c r="B10" s="9">
        <v>519.8</v>
      </c>
      <c r="C10" s="10">
        <v>128.1</v>
      </c>
      <c r="D10" s="11">
        <v>3.58</v>
      </c>
      <c r="E10" s="12">
        <v>80</v>
      </c>
      <c r="F10" s="12">
        <v>95.9</v>
      </c>
      <c r="G10" s="10">
        <v>11.5</v>
      </c>
      <c r="H10" s="56">
        <v>25040546</v>
      </c>
    </row>
    <row r="11" ht="16.5" spans="1:8">
      <c r="A11" s="39" t="s">
        <v>1129</v>
      </c>
      <c r="B11" s="9">
        <v>464.2</v>
      </c>
      <c r="C11" s="10">
        <v>190.1</v>
      </c>
      <c r="D11" s="11">
        <v>4.69</v>
      </c>
      <c r="E11" s="12">
        <v>88.7</v>
      </c>
      <c r="F11" s="12">
        <v>98.3</v>
      </c>
      <c r="G11" s="10">
        <v>11</v>
      </c>
      <c r="H11" s="56">
        <v>25050058</v>
      </c>
    </row>
    <row r="12" ht="16.5" spans="1:8">
      <c r="A12" s="39" t="s">
        <v>1130</v>
      </c>
      <c r="B12" s="9">
        <v>552</v>
      </c>
      <c r="C12" s="10">
        <v>93.3</v>
      </c>
      <c r="D12" s="11">
        <v>3.09</v>
      </c>
      <c r="E12" s="12">
        <v>75.1</v>
      </c>
      <c r="F12" s="12">
        <v>93.2</v>
      </c>
      <c r="G12" s="10">
        <v>6.4</v>
      </c>
      <c r="H12" s="9">
        <v>24050381</v>
      </c>
    </row>
    <row r="13" ht="16.5" spans="1:8">
      <c r="A13" s="39" t="s">
        <v>1131</v>
      </c>
      <c r="B13" s="9">
        <v>320.6</v>
      </c>
      <c r="C13" s="10">
        <v>108.6</v>
      </c>
      <c r="D13" s="11">
        <v>2.83</v>
      </c>
      <c r="E13" s="12">
        <v>76.8</v>
      </c>
      <c r="F13" s="12">
        <v>94</v>
      </c>
      <c r="G13" s="10">
        <v>11.2</v>
      </c>
      <c r="H13" s="56">
        <v>25040367</v>
      </c>
    </row>
    <row r="14" ht="16.5" spans="1:8">
      <c r="A14" s="39" t="s">
        <v>1132</v>
      </c>
      <c r="B14" s="9">
        <v>520.4</v>
      </c>
      <c r="C14" s="10">
        <v>130.5</v>
      </c>
      <c r="D14" s="11">
        <v>3.65</v>
      </c>
      <c r="E14" s="12">
        <v>80</v>
      </c>
      <c r="F14" s="12">
        <v>95.9</v>
      </c>
      <c r="G14" s="10">
        <v>11.5</v>
      </c>
      <c r="H14" s="56">
        <v>25040545</v>
      </c>
    </row>
    <row r="15" ht="16.5" spans="1:8">
      <c r="A15" s="39" t="s">
        <v>1133</v>
      </c>
      <c r="B15" s="9">
        <v>497.8</v>
      </c>
      <c r="C15" s="10">
        <v>151.6</v>
      </c>
      <c r="D15" s="11">
        <v>3.94</v>
      </c>
      <c r="E15" s="12">
        <v>74.3</v>
      </c>
      <c r="F15" s="12">
        <v>92.2</v>
      </c>
      <c r="G15" s="10">
        <v>8.1</v>
      </c>
      <c r="H15" s="56">
        <v>25020340</v>
      </c>
    </row>
    <row r="16" ht="16.5" spans="1:8">
      <c r="A16" s="39" t="s">
        <v>1134</v>
      </c>
      <c r="B16" s="9">
        <v>509.4</v>
      </c>
      <c r="C16" s="10">
        <v>148.3</v>
      </c>
      <c r="D16" s="11">
        <v>3.91</v>
      </c>
      <c r="E16" s="12">
        <v>64.3</v>
      </c>
      <c r="F16" s="12">
        <v>88.1</v>
      </c>
      <c r="G16" s="10">
        <v>6.5</v>
      </c>
      <c r="H16" s="56">
        <v>25020200</v>
      </c>
    </row>
    <row r="17" ht="16.5" spans="1:8">
      <c r="A17" s="39" t="s">
        <v>1135</v>
      </c>
      <c r="B17" s="9">
        <v>275.6</v>
      </c>
      <c r="C17" s="10">
        <v>111.3</v>
      </c>
      <c r="D17" s="11">
        <v>2.83</v>
      </c>
      <c r="E17" s="12">
        <v>78.4</v>
      </c>
      <c r="F17" s="12">
        <v>95.6</v>
      </c>
      <c r="G17" s="10">
        <v>11</v>
      </c>
      <c r="H17" s="9">
        <v>25040236</v>
      </c>
    </row>
    <row r="18" ht="16.5" spans="1:8">
      <c r="A18" s="39" t="s">
        <v>1136</v>
      </c>
      <c r="B18" s="9">
        <v>514</v>
      </c>
      <c r="C18" s="10">
        <v>114.1</v>
      </c>
      <c r="D18" s="11">
        <v>2.9</v>
      </c>
      <c r="E18" s="12">
        <v>77.8</v>
      </c>
      <c r="F18" s="12">
        <v>95.3</v>
      </c>
      <c r="G18" s="10">
        <v>9.4</v>
      </c>
      <c r="H18" s="9">
        <v>25040212</v>
      </c>
    </row>
    <row r="19" ht="16.5" spans="1:8">
      <c r="A19" s="39" t="s">
        <v>1137</v>
      </c>
      <c r="B19" s="9">
        <v>334.4</v>
      </c>
      <c r="C19" s="10">
        <v>123.8</v>
      </c>
      <c r="D19" s="11">
        <v>3.36</v>
      </c>
      <c r="E19" s="12">
        <v>75.2</v>
      </c>
      <c r="F19" s="12">
        <v>94.3</v>
      </c>
      <c r="G19" s="10">
        <v>9.4</v>
      </c>
      <c r="H19" s="56">
        <v>25050088</v>
      </c>
    </row>
    <row r="20" ht="16.5" spans="1:8">
      <c r="A20" s="39" t="s">
        <v>1138</v>
      </c>
      <c r="B20" s="9">
        <v>501</v>
      </c>
      <c r="C20" s="10">
        <v>125.3</v>
      </c>
      <c r="D20" s="11">
        <v>3.24</v>
      </c>
      <c r="E20" s="12">
        <v>77.1</v>
      </c>
      <c r="F20" s="12">
        <v>94.5</v>
      </c>
      <c r="G20" s="10">
        <v>11.2</v>
      </c>
      <c r="H20" s="9">
        <v>25050130</v>
      </c>
    </row>
    <row r="21" ht="16.5" spans="1:8">
      <c r="A21" s="39" t="s">
        <v>1139</v>
      </c>
      <c r="B21" s="9">
        <v>518.8</v>
      </c>
      <c r="C21" s="10">
        <v>165.8</v>
      </c>
      <c r="D21" s="11">
        <v>4.32</v>
      </c>
      <c r="E21" s="12">
        <v>63.3</v>
      </c>
      <c r="F21" s="12">
        <v>86.1</v>
      </c>
      <c r="G21" s="10">
        <v>6.5</v>
      </c>
      <c r="H21" s="56">
        <v>25010027</v>
      </c>
    </row>
    <row r="22" ht="16.5" spans="1:8">
      <c r="A22" s="39" t="s">
        <v>1140</v>
      </c>
      <c r="B22" s="9">
        <v>471.6</v>
      </c>
      <c r="C22" s="10">
        <v>125.9</v>
      </c>
      <c r="D22" s="11">
        <v>3.18</v>
      </c>
      <c r="E22" s="12">
        <v>77</v>
      </c>
      <c r="F22" s="12">
        <v>94.3</v>
      </c>
      <c r="G22" s="10">
        <v>11.2</v>
      </c>
      <c r="H22" s="9">
        <v>25050131</v>
      </c>
    </row>
    <row r="23" ht="16.5" spans="1:8">
      <c r="A23" s="39" t="s">
        <v>1141</v>
      </c>
      <c r="B23" s="9">
        <v>330.8</v>
      </c>
      <c r="C23" s="10">
        <v>125.9</v>
      </c>
      <c r="D23" s="11">
        <v>3.18</v>
      </c>
      <c r="E23" s="12">
        <v>77.2</v>
      </c>
      <c r="F23" s="12">
        <v>94.5</v>
      </c>
      <c r="G23" s="10">
        <v>11.2</v>
      </c>
      <c r="H23" s="9">
        <v>25050132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6:B7 B9:B12 B14:B23 C4:C23"/>
  </dataValidations>
  <pageMargins left="0.75" right="0.75" top="1" bottom="1" header="0.5" footer="0.5"/>
  <pageSetup paperSize="9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J23" sqref="J23"/>
    </sheetView>
  </sheetViews>
  <sheetFormatPr defaultColWidth="9" defaultRowHeight="13.5"/>
  <cols>
    <col min="1" max="1" width="15.625" customWidth="1"/>
    <col min="3" max="3" width="9.375"/>
    <col min="8" max="8" width="9.375"/>
    <col min="11" max="11" width="15.625" customWidth="1"/>
    <col min="13" max="13" width="9.375"/>
    <col min="18" max="18" width="9.375"/>
  </cols>
  <sheetData>
    <row r="1" ht="16.5" spans="1:18">
      <c r="A1" s="116">
        <v>601</v>
      </c>
      <c r="B1" s="2">
        <f>SUM(B3:B30)</f>
        <v>10065</v>
      </c>
      <c r="C1" s="3" cm="1">
        <f t="array" ref="C1">SUMPRODUCT(C3:C30*B3:B30)/B1</f>
        <v>178.231900645802</v>
      </c>
      <c r="D1" s="4" cm="1">
        <f t="array" ref="D1">SUMPRODUCT(B3:B30*D3:D30)/B1</f>
        <v>4.00863566815698</v>
      </c>
      <c r="E1" s="3" cm="1">
        <f t="array" ref="E1">SUMPRODUCT(B3:B30*E3:E30)/B1</f>
        <v>79.4804987580725</v>
      </c>
      <c r="F1" s="3" cm="1">
        <f t="array" ref="F1">SUMPRODUCT(B3:B30*F3:F30)/B1</f>
        <v>94.1854644808743</v>
      </c>
      <c r="G1" s="3" cm="1">
        <f t="array" ref="G1">SUMPRODUCT(B3:B30*G3:G30)/B1</f>
        <v>11.1705506209637</v>
      </c>
      <c r="K1" s="116">
        <v>602</v>
      </c>
      <c r="L1" s="2">
        <f>SUM(L3:L30)</f>
        <v>9996.6</v>
      </c>
      <c r="M1" s="3" cm="1">
        <f t="array" ref="M1">SUMPRODUCT(M3:M30*L3:L30)/L1</f>
        <v>157.575705739952</v>
      </c>
      <c r="N1" s="4" cm="1">
        <f t="array" ref="N1">SUMPRODUCT(L3:L30*N3:N30)/L1</f>
        <v>3.83729828141568</v>
      </c>
      <c r="O1" s="3" cm="1">
        <f t="array" ref="O1">SUMPRODUCT(L3:L30*O3:O30)/L1</f>
        <v>78.7955344817238</v>
      </c>
      <c r="P1" s="3" cm="1">
        <f t="array" ref="P1">SUMPRODUCT(L3:L30*P3:P30)/L1</f>
        <v>94.5564611968069</v>
      </c>
      <c r="Q1" s="3" cm="1">
        <f t="array" ref="Q1">SUMPRODUCT(L3:L30*Q3:Q30)/L1</f>
        <v>11.5101756597243</v>
      </c>
    </row>
    <row r="2" ht="16.5" spans="1:1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52" t="s">
        <v>19</v>
      </c>
      <c r="K2" s="6">
        <v>140</v>
      </c>
      <c r="L2" s="6" t="s">
        <v>0</v>
      </c>
      <c r="M2" s="6" t="s">
        <v>1</v>
      </c>
      <c r="N2" s="6" t="s">
        <v>2</v>
      </c>
      <c r="O2" s="6" t="s">
        <v>3</v>
      </c>
      <c r="P2" s="6" t="s">
        <v>4</v>
      </c>
      <c r="Q2" s="6" t="s">
        <v>19</v>
      </c>
    </row>
    <row r="3" ht="16.5" spans="1:18">
      <c r="A3" s="39" t="s">
        <v>1142</v>
      </c>
      <c r="B3" s="9">
        <v>772.4</v>
      </c>
      <c r="C3" s="10">
        <v>177.7</v>
      </c>
      <c r="D3" s="11">
        <v>4.26</v>
      </c>
      <c r="E3" s="12">
        <v>84</v>
      </c>
      <c r="F3" s="12">
        <v>96.2</v>
      </c>
      <c r="G3" s="11">
        <v>12.19</v>
      </c>
      <c r="H3" s="9">
        <v>25050168</v>
      </c>
      <c r="K3" s="39" t="s">
        <v>1143</v>
      </c>
      <c r="L3" s="9">
        <v>413</v>
      </c>
      <c r="M3" s="10">
        <v>179.6</v>
      </c>
      <c r="N3" s="11">
        <v>4.52</v>
      </c>
      <c r="O3" s="12">
        <v>82.1</v>
      </c>
      <c r="P3" s="12">
        <v>95.9</v>
      </c>
      <c r="Q3" s="11">
        <v>11.63</v>
      </c>
      <c r="R3" s="34">
        <v>25050103</v>
      </c>
    </row>
    <row r="4" ht="16.5" spans="1:18">
      <c r="A4" s="39" t="s">
        <v>1144</v>
      </c>
      <c r="B4" s="9">
        <v>462.6</v>
      </c>
      <c r="C4" s="10">
        <v>105.1</v>
      </c>
      <c r="D4" s="11">
        <v>2.8</v>
      </c>
      <c r="E4" s="12">
        <v>61</v>
      </c>
      <c r="F4" s="12">
        <v>87.4</v>
      </c>
      <c r="G4" s="11">
        <v>9.9</v>
      </c>
      <c r="H4" s="9">
        <v>25020173</v>
      </c>
      <c r="K4" s="39" t="s">
        <v>1145</v>
      </c>
      <c r="L4" s="9">
        <v>312.8</v>
      </c>
      <c r="M4" s="10">
        <v>170.2</v>
      </c>
      <c r="N4" s="11">
        <v>4.43</v>
      </c>
      <c r="O4" s="12">
        <v>81.5</v>
      </c>
      <c r="P4" s="12">
        <v>95.6</v>
      </c>
      <c r="Q4" s="11">
        <v>11.85</v>
      </c>
      <c r="R4" s="34">
        <v>25050104</v>
      </c>
    </row>
    <row r="5" ht="16.5" spans="1:18">
      <c r="A5" s="39" t="s">
        <v>1146</v>
      </c>
      <c r="B5" s="9">
        <v>545</v>
      </c>
      <c r="C5" s="10">
        <v>179.4</v>
      </c>
      <c r="D5" s="11">
        <v>5.35</v>
      </c>
      <c r="E5" s="12">
        <v>70.6</v>
      </c>
      <c r="F5" s="12">
        <v>90.7</v>
      </c>
      <c r="G5" s="11">
        <v>11.27</v>
      </c>
      <c r="H5" s="9">
        <v>25020337</v>
      </c>
      <c r="K5" s="39" t="s">
        <v>1147</v>
      </c>
      <c r="L5" s="9">
        <v>792.4</v>
      </c>
      <c r="M5" s="10">
        <v>102.4</v>
      </c>
      <c r="N5" s="11">
        <v>2.9</v>
      </c>
      <c r="O5" s="12">
        <v>74.2</v>
      </c>
      <c r="P5" s="12">
        <v>93.2</v>
      </c>
      <c r="Q5" s="11">
        <v>12.64</v>
      </c>
      <c r="R5" s="34">
        <v>25050258</v>
      </c>
    </row>
    <row r="6" ht="16.5" spans="1:18">
      <c r="A6" s="39" t="s">
        <v>1148</v>
      </c>
      <c r="B6" s="9">
        <v>506.2</v>
      </c>
      <c r="C6" s="10">
        <v>225.7</v>
      </c>
      <c r="D6" s="11">
        <v>5.63</v>
      </c>
      <c r="E6" s="12">
        <v>68.2</v>
      </c>
      <c r="F6" s="12">
        <v>87.1</v>
      </c>
      <c r="G6" s="11">
        <v>9.25</v>
      </c>
      <c r="H6" s="9">
        <v>25010274</v>
      </c>
      <c r="K6" s="39" t="s">
        <v>1149</v>
      </c>
      <c r="L6" s="9">
        <v>97.4</v>
      </c>
      <c r="M6" s="10">
        <v>105.6</v>
      </c>
      <c r="N6" s="11">
        <v>3.03</v>
      </c>
      <c r="O6" s="12">
        <v>75.4</v>
      </c>
      <c r="P6" s="12">
        <v>93.8</v>
      </c>
      <c r="Q6" s="11">
        <v>12.55</v>
      </c>
      <c r="R6" s="34">
        <v>25050259</v>
      </c>
    </row>
    <row r="7" ht="16.5" spans="1:18">
      <c r="A7" s="39" t="s">
        <v>1150</v>
      </c>
      <c r="B7" s="9">
        <v>485.6</v>
      </c>
      <c r="C7" s="10">
        <v>269.1</v>
      </c>
      <c r="D7" s="11">
        <v>4.32</v>
      </c>
      <c r="E7" s="12">
        <v>92.7</v>
      </c>
      <c r="F7" s="12">
        <v>98.8</v>
      </c>
      <c r="G7" s="11">
        <v>12.35</v>
      </c>
      <c r="H7" s="9">
        <v>25050074</v>
      </c>
      <c r="K7" s="39" t="s">
        <v>1151</v>
      </c>
      <c r="L7" s="9">
        <v>199.4</v>
      </c>
      <c r="M7" s="10">
        <v>196.8</v>
      </c>
      <c r="N7" s="11">
        <v>4.89</v>
      </c>
      <c r="O7" s="12">
        <v>81.8</v>
      </c>
      <c r="P7" s="12">
        <v>95.5</v>
      </c>
      <c r="Q7" s="11">
        <v>10.7</v>
      </c>
      <c r="R7" s="34">
        <v>25050141</v>
      </c>
    </row>
    <row r="8" ht="16.5" spans="1:18">
      <c r="A8" s="39" t="s">
        <v>1152</v>
      </c>
      <c r="B8" s="9">
        <v>252.6</v>
      </c>
      <c r="C8" s="10">
        <v>226.9</v>
      </c>
      <c r="D8" s="11">
        <v>4.32</v>
      </c>
      <c r="E8" s="12">
        <v>90.8</v>
      </c>
      <c r="F8" s="12">
        <v>98.9</v>
      </c>
      <c r="G8" s="11">
        <v>11.72</v>
      </c>
      <c r="H8" s="9">
        <v>25050036</v>
      </c>
      <c r="K8" s="39" t="s">
        <v>1153</v>
      </c>
      <c r="L8" s="9">
        <v>856.2</v>
      </c>
      <c r="M8" s="10">
        <v>111.7</v>
      </c>
      <c r="N8" s="11">
        <v>2.93</v>
      </c>
      <c r="O8" s="12">
        <v>79.7</v>
      </c>
      <c r="P8" s="12">
        <v>95.4</v>
      </c>
      <c r="Q8" s="11">
        <v>13.74</v>
      </c>
      <c r="R8" s="34">
        <v>25050255</v>
      </c>
    </row>
    <row r="9" ht="16.5" spans="1:18">
      <c r="A9" s="39" t="s">
        <v>1154</v>
      </c>
      <c r="B9" s="9">
        <v>303.2</v>
      </c>
      <c r="C9" s="10">
        <v>212.7</v>
      </c>
      <c r="D9" s="11">
        <v>5.02</v>
      </c>
      <c r="E9" s="12">
        <v>76.7</v>
      </c>
      <c r="F9" s="12">
        <v>92.3</v>
      </c>
      <c r="G9" s="11">
        <v>8.92</v>
      </c>
      <c r="H9" s="9">
        <v>25050083</v>
      </c>
      <c r="K9" s="39" t="s">
        <v>1155</v>
      </c>
      <c r="L9" s="9">
        <v>851.6</v>
      </c>
      <c r="M9" s="10">
        <v>110.5</v>
      </c>
      <c r="N9" s="11">
        <v>3.15</v>
      </c>
      <c r="O9" s="12">
        <v>75.9</v>
      </c>
      <c r="P9" s="12">
        <v>93.9</v>
      </c>
      <c r="Q9" s="11">
        <v>12.35</v>
      </c>
      <c r="R9" s="34">
        <v>25050257</v>
      </c>
    </row>
    <row r="10" ht="16.5" spans="1:18">
      <c r="A10" s="39" t="s">
        <v>1156</v>
      </c>
      <c r="B10" s="9">
        <v>535.6</v>
      </c>
      <c r="C10" s="10">
        <v>91.6</v>
      </c>
      <c r="D10" s="11">
        <v>2.64</v>
      </c>
      <c r="E10" s="12">
        <v>85.3</v>
      </c>
      <c r="F10" s="12">
        <v>97.9</v>
      </c>
      <c r="G10" s="11">
        <v>11.4</v>
      </c>
      <c r="H10" s="9">
        <v>24020032</v>
      </c>
      <c r="K10" s="39" t="s">
        <v>1157</v>
      </c>
      <c r="L10" s="9">
        <v>494.8</v>
      </c>
      <c r="M10" s="10">
        <v>146.9</v>
      </c>
      <c r="N10" s="11">
        <v>4.03</v>
      </c>
      <c r="O10" s="12">
        <v>73.9</v>
      </c>
      <c r="P10" s="12">
        <v>93.6</v>
      </c>
      <c r="Q10" s="11">
        <v>10.3</v>
      </c>
      <c r="R10" s="34">
        <v>25030306</v>
      </c>
    </row>
    <row r="11" ht="16.5" spans="1:18">
      <c r="A11" s="39" t="s">
        <v>1158</v>
      </c>
      <c r="B11" s="9">
        <v>524.2</v>
      </c>
      <c r="C11" s="10">
        <v>120.5</v>
      </c>
      <c r="D11" s="11">
        <v>2.77</v>
      </c>
      <c r="E11" s="12">
        <v>66.4</v>
      </c>
      <c r="F11" s="12">
        <v>89</v>
      </c>
      <c r="G11" s="11">
        <v>11.59</v>
      </c>
      <c r="H11" s="9">
        <v>25020287</v>
      </c>
      <c r="K11" s="39" t="s">
        <v>1159</v>
      </c>
      <c r="L11" s="9">
        <v>815.8</v>
      </c>
      <c r="M11" s="10">
        <v>226.2</v>
      </c>
      <c r="N11" s="11">
        <v>4.89</v>
      </c>
      <c r="O11" s="12">
        <v>86.7</v>
      </c>
      <c r="P11" s="12">
        <v>97</v>
      </c>
      <c r="Q11" s="11">
        <v>11.43</v>
      </c>
      <c r="R11" s="34">
        <v>25050233</v>
      </c>
    </row>
    <row r="12" ht="16.5" spans="1:18">
      <c r="A12" s="39" t="s">
        <v>1160</v>
      </c>
      <c r="B12" s="9">
        <v>636</v>
      </c>
      <c r="C12" s="10">
        <v>242.5</v>
      </c>
      <c r="D12" s="11">
        <v>4.46</v>
      </c>
      <c r="E12" s="12">
        <v>88.7</v>
      </c>
      <c r="F12" s="12">
        <v>98.3</v>
      </c>
      <c r="G12" s="11">
        <v>10.36</v>
      </c>
      <c r="H12" s="9">
        <v>25030196</v>
      </c>
      <c r="K12" s="39" t="s">
        <v>1161</v>
      </c>
      <c r="L12" s="9">
        <v>533.6</v>
      </c>
      <c r="M12" s="10">
        <v>123.8</v>
      </c>
      <c r="N12" s="11">
        <v>3.21</v>
      </c>
      <c r="O12" s="12">
        <v>71.1</v>
      </c>
      <c r="P12" s="12">
        <v>90.8</v>
      </c>
      <c r="Q12" s="11">
        <v>10.1</v>
      </c>
      <c r="R12" s="34">
        <v>25020060</v>
      </c>
    </row>
    <row r="13" ht="16.5" spans="1:18">
      <c r="A13" s="39" t="s">
        <v>1162</v>
      </c>
      <c r="B13" s="9">
        <v>215</v>
      </c>
      <c r="C13" s="10">
        <v>135.9</v>
      </c>
      <c r="D13" s="11">
        <v>2.87</v>
      </c>
      <c r="E13" s="12">
        <v>78.9</v>
      </c>
      <c r="F13" s="12">
        <v>96.1</v>
      </c>
      <c r="G13" s="11">
        <v>11.34</v>
      </c>
      <c r="H13" s="9">
        <v>25030178</v>
      </c>
      <c r="K13" s="39" t="s">
        <v>1163</v>
      </c>
      <c r="L13" s="9">
        <v>495.8</v>
      </c>
      <c r="M13" s="10">
        <v>216.5</v>
      </c>
      <c r="N13" s="11">
        <v>4.61</v>
      </c>
      <c r="O13" s="12">
        <v>86.5</v>
      </c>
      <c r="P13" s="12">
        <v>97.8</v>
      </c>
      <c r="Q13" s="11">
        <v>10.79</v>
      </c>
      <c r="R13" s="34">
        <v>25040557</v>
      </c>
    </row>
    <row r="14" ht="16.5" spans="1:18">
      <c r="A14" s="39" t="s">
        <v>1164</v>
      </c>
      <c r="B14" s="9">
        <v>395.2</v>
      </c>
      <c r="C14" s="10">
        <v>106.6</v>
      </c>
      <c r="D14" s="11">
        <v>2.77</v>
      </c>
      <c r="E14" s="12">
        <v>69.3</v>
      </c>
      <c r="F14" s="12">
        <v>89.9</v>
      </c>
      <c r="G14" s="11">
        <v>12.07</v>
      </c>
      <c r="H14" s="9">
        <v>25030423</v>
      </c>
      <c r="K14" s="39" t="s">
        <v>1165</v>
      </c>
      <c r="L14" s="9">
        <v>499.4</v>
      </c>
      <c r="M14" s="10">
        <v>142.9</v>
      </c>
      <c r="N14" s="11">
        <v>4.03</v>
      </c>
      <c r="O14" s="12">
        <v>67.8</v>
      </c>
      <c r="P14" s="12">
        <v>88.9</v>
      </c>
      <c r="Q14" s="11">
        <v>10.55</v>
      </c>
      <c r="R14" s="34">
        <v>25040527</v>
      </c>
    </row>
    <row r="15" ht="16.5" spans="1:18">
      <c r="A15" s="39" t="s">
        <v>1166</v>
      </c>
      <c r="B15" s="9">
        <v>519</v>
      </c>
      <c r="C15" s="10">
        <v>118.6</v>
      </c>
      <c r="D15" s="11">
        <v>3.12</v>
      </c>
      <c r="E15" s="12">
        <v>66.8</v>
      </c>
      <c r="F15" s="12">
        <v>88.3</v>
      </c>
      <c r="G15" s="11">
        <v>9.93</v>
      </c>
      <c r="H15" s="9">
        <v>25020061</v>
      </c>
      <c r="K15" s="39" t="s">
        <v>1167</v>
      </c>
      <c r="L15" s="9">
        <v>833.6</v>
      </c>
      <c r="M15" s="10">
        <v>113.7</v>
      </c>
      <c r="N15" s="11">
        <v>2.9</v>
      </c>
      <c r="O15" s="12">
        <v>79.7</v>
      </c>
      <c r="P15" s="12">
        <v>95.5</v>
      </c>
      <c r="Q15" s="11">
        <v>11.44</v>
      </c>
      <c r="R15" s="34">
        <v>25050238</v>
      </c>
    </row>
    <row r="16" ht="16.5" spans="1:18">
      <c r="A16" s="39" t="s">
        <v>1168</v>
      </c>
      <c r="B16" s="9">
        <v>508</v>
      </c>
      <c r="C16" s="10">
        <v>176.7</v>
      </c>
      <c r="D16" s="11">
        <v>4.32</v>
      </c>
      <c r="E16" s="12">
        <v>82.6</v>
      </c>
      <c r="F16" s="12">
        <v>96.3</v>
      </c>
      <c r="G16" s="11">
        <v>11.03</v>
      </c>
      <c r="H16" s="9">
        <v>25040044</v>
      </c>
      <c r="K16" s="39" t="s">
        <v>1169</v>
      </c>
      <c r="L16" s="9">
        <v>387</v>
      </c>
      <c r="M16" s="10">
        <v>222.4</v>
      </c>
      <c r="N16" s="11">
        <v>4.34</v>
      </c>
      <c r="O16" s="12">
        <v>88</v>
      </c>
      <c r="P16" s="12">
        <v>98.7</v>
      </c>
      <c r="Q16" s="11">
        <v>10.06</v>
      </c>
      <c r="R16" s="34">
        <v>25040555</v>
      </c>
    </row>
    <row r="17" ht="16.5" spans="1:18">
      <c r="A17" s="39" t="s">
        <v>1170</v>
      </c>
      <c r="B17" s="9">
        <v>779.4</v>
      </c>
      <c r="C17" s="10">
        <v>213.9</v>
      </c>
      <c r="D17" s="11">
        <v>4.32</v>
      </c>
      <c r="E17" s="12">
        <v>91.1</v>
      </c>
      <c r="F17" s="12">
        <v>98.7</v>
      </c>
      <c r="G17" s="11">
        <v>12.53</v>
      </c>
      <c r="H17" s="9">
        <v>25050164</v>
      </c>
      <c r="K17" s="39" t="s">
        <v>1171</v>
      </c>
      <c r="L17" s="9">
        <v>459</v>
      </c>
      <c r="M17" s="10">
        <v>212.7</v>
      </c>
      <c r="N17" s="11">
        <v>4.34</v>
      </c>
      <c r="O17" s="12">
        <v>87.5</v>
      </c>
      <c r="P17" s="12">
        <v>98.4</v>
      </c>
      <c r="Q17" s="11">
        <v>10.46</v>
      </c>
      <c r="R17" s="34">
        <v>25040556</v>
      </c>
    </row>
    <row r="18" ht="16.5" spans="1:18">
      <c r="A18" s="39" t="s">
        <v>1172</v>
      </c>
      <c r="B18" s="9">
        <v>559.2</v>
      </c>
      <c r="C18" s="10">
        <v>252.3</v>
      </c>
      <c r="D18" s="11">
        <v>5.57</v>
      </c>
      <c r="E18" s="12">
        <v>76.3</v>
      </c>
      <c r="F18" s="12">
        <v>91</v>
      </c>
      <c r="G18" s="11">
        <v>11.22</v>
      </c>
      <c r="H18" s="9">
        <v>24060244</v>
      </c>
      <c r="K18" s="39" t="s">
        <v>1173</v>
      </c>
      <c r="L18" s="9">
        <v>506.4</v>
      </c>
      <c r="M18" s="10">
        <v>238.8</v>
      </c>
      <c r="N18" s="11">
        <v>4.46</v>
      </c>
      <c r="O18" s="12">
        <v>92.1</v>
      </c>
      <c r="P18" s="12">
        <v>99.1</v>
      </c>
      <c r="Q18" s="11">
        <v>11.94</v>
      </c>
      <c r="R18" s="34">
        <v>25050054</v>
      </c>
    </row>
    <row r="19" ht="16.5" spans="1:18">
      <c r="A19" s="23" t="s">
        <v>1174</v>
      </c>
      <c r="B19" s="14">
        <v>834.2</v>
      </c>
      <c r="C19" s="15">
        <v>206.6</v>
      </c>
      <c r="D19" s="16">
        <v>3.89</v>
      </c>
      <c r="E19" s="17">
        <v>86.1</v>
      </c>
      <c r="F19" s="17">
        <v>96.5</v>
      </c>
      <c r="G19" s="16">
        <v>10.71</v>
      </c>
      <c r="H19" s="14">
        <v>25050176</v>
      </c>
      <c r="K19" s="23" t="s">
        <v>1175</v>
      </c>
      <c r="L19" s="14">
        <v>470.8</v>
      </c>
      <c r="M19" s="15">
        <v>167.9</v>
      </c>
      <c r="N19" s="16">
        <v>4.52</v>
      </c>
      <c r="O19" s="17">
        <v>67.8</v>
      </c>
      <c r="P19" s="17">
        <v>89.6</v>
      </c>
      <c r="Q19" s="16">
        <v>11.46</v>
      </c>
      <c r="R19" s="14">
        <v>25040028</v>
      </c>
    </row>
    <row r="20" ht="16.5" spans="1:18">
      <c r="A20" s="23" t="s">
        <v>1176</v>
      </c>
      <c r="B20" s="14">
        <v>428.8</v>
      </c>
      <c r="C20" s="15">
        <v>127.6</v>
      </c>
      <c r="D20" s="16">
        <v>3.18</v>
      </c>
      <c r="E20" s="17">
        <v>79.7</v>
      </c>
      <c r="F20" s="17">
        <v>95.6</v>
      </c>
      <c r="G20" s="16">
        <v>11.11</v>
      </c>
      <c r="H20" s="14">
        <v>25050024</v>
      </c>
      <c r="K20" s="23" t="s">
        <v>1177</v>
      </c>
      <c r="L20" s="14">
        <v>285.8</v>
      </c>
      <c r="M20" s="15">
        <v>145.8</v>
      </c>
      <c r="N20" s="16">
        <v>3.67</v>
      </c>
      <c r="O20" s="17">
        <v>80.8</v>
      </c>
      <c r="P20" s="17">
        <v>96</v>
      </c>
      <c r="Q20" s="16">
        <v>10.49</v>
      </c>
      <c r="R20" s="14">
        <v>25040101</v>
      </c>
    </row>
    <row r="21" ht="16.5" spans="1:18">
      <c r="A21" s="23" t="s">
        <v>1178</v>
      </c>
      <c r="B21" s="14">
        <v>296</v>
      </c>
      <c r="C21" s="15">
        <v>125.3</v>
      </c>
      <c r="D21" s="16">
        <v>3.12</v>
      </c>
      <c r="E21" s="17">
        <v>79.9</v>
      </c>
      <c r="F21" s="17">
        <v>95.5</v>
      </c>
      <c r="G21" s="16">
        <v>11.57</v>
      </c>
      <c r="H21" s="14">
        <v>25050025</v>
      </c>
      <c r="K21" s="23" t="s">
        <v>1179</v>
      </c>
      <c r="L21" s="14">
        <v>469.8</v>
      </c>
      <c r="M21" s="15">
        <v>142.7</v>
      </c>
      <c r="N21" s="16">
        <v>3.65</v>
      </c>
      <c r="O21" s="17">
        <v>79.5</v>
      </c>
      <c r="P21" s="17">
        <v>94.8</v>
      </c>
      <c r="Q21" s="16">
        <v>10.89</v>
      </c>
      <c r="R21" s="14">
        <v>25040406</v>
      </c>
    </row>
    <row r="22" ht="16.5" spans="1:18">
      <c r="A22" s="23" t="s">
        <v>1180</v>
      </c>
      <c r="B22" s="14">
        <v>506.8</v>
      </c>
      <c r="C22" s="15">
        <v>162.7</v>
      </c>
      <c r="D22" s="16">
        <v>4.03</v>
      </c>
      <c r="E22" s="17">
        <v>81.8</v>
      </c>
      <c r="F22" s="17">
        <v>96</v>
      </c>
      <c r="G22" s="16">
        <v>11.94</v>
      </c>
      <c r="H22" s="14">
        <v>25050042</v>
      </c>
      <c r="K22" s="23" t="s">
        <v>1181</v>
      </c>
      <c r="L22" s="14">
        <v>222</v>
      </c>
      <c r="M22" s="15">
        <v>172.3</v>
      </c>
      <c r="N22" s="16">
        <v>5.02</v>
      </c>
      <c r="O22" s="17">
        <v>51</v>
      </c>
      <c r="P22" s="17">
        <v>80.9</v>
      </c>
      <c r="Q22" s="16">
        <v>12.09</v>
      </c>
      <c r="R22" s="14">
        <v>25020281</v>
      </c>
    </row>
    <row r="24" ht="16.5" spans="1:18">
      <c r="K24" s="23"/>
      <c r="L24" s="14"/>
      <c r="M24" s="15"/>
      <c r="N24" s="16"/>
      <c r="O24" s="17"/>
      <c r="P24" s="17"/>
      <c r="Q24" s="16"/>
      <c r="R24" s="14"/>
    </row>
    <row r="39" ht="16.5" spans="1:13">
      <c r="A39" s="23" t="s">
        <v>1174</v>
      </c>
      <c r="B39" s="14">
        <v>834.2</v>
      </c>
      <c r="C39" s="14">
        <v>25050176</v>
      </c>
      <c r="K39" s="23" t="s">
        <v>1175</v>
      </c>
      <c r="L39" s="14">
        <v>470.8</v>
      </c>
      <c r="M39" s="14">
        <v>25040028</v>
      </c>
    </row>
    <row r="40" ht="16.5" spans="1:13">
      <c r="A40" s="23" t="s">
        <v>1176</v>
      </c>
      <c r="B40" s="14">
        <v>428.8</v>
      </c>
      <c r="C40" s="14">
        <v>25050024</v>
      </c>
      <c r="K40" s="23" t="s">
        <v>1182</v>
      </c>
      <c r="L40" s="14">
        <v>282.2</v>
      </c>
      <c r="M40" s="14">
        <v>25040029</v>
      </c>
    </row>
    <row r="41" ht="16.5" spans="1:13">
      <c r="A41" s="23" t="s">
        <v>1178</v>
      </c>
      <c r="B41" s="14">
        <v>296</v>
      </c>
      <c r="C41" s="14">
        <v>25050025</v>
      </c>
      <c r="K41" s="23" t="s">
        <v>1177</v>
      </c>
      <c r="L41" s="14">
        <v>285.8</v>
      </c>
      <c r="M41" s="14">
        <v>25040101</v>
      </c>
    </row>
    <row r="42" ht="16.5" spans="1:13">
      <c r="A42" s="23" t="s">
        <v>1180</v>
      </c>
      <c r="B42" s="14">
        <v>506.8</v>
      </c>
      <c r="C42" s="14">
        <v>25050042</v>
      </c>
      <c r="K42" s="23" t="s">
        <v>1179</v>
      </c>
      <c r="L42" s="14">
        <v>469.8</v>
      </c>
      <c r="M42" s="14">
        <v>25040406</v>
      </c>
    </row>
    <row r="45" ht="16.5" spans="1:13">
      <c r="K45" s="23" t="s">
        <v>1183</v>
      </c>
      <c r="L45" s="14">
        <v>271.6</v>
      </c>
      <c r="M45" s="14">
        <v>25040543</v>
      </c>
    </row>
    <row r="46" ht="16.5" spans="1:13">
      <c r="K46" s="23" t="s">
        <v>1184</v>
      </c>
      <c r="L46" s="14">
        <v>347.2</v>
      </c>
      <c r="M46" s="14">
        <v>25040544</v>
      </c>
    </row>
    <row r="47" ht="16.5" spans="1:13">
      <c r="K47" s="23" t="s">
        <v>1181</v>
      </c>
      <c r="L47" s="14">
        <v>222</v>
      </c>
      <c r="M47" s="14">
        <v>25020281</v>
      </c>
    </row>
  </sheetData>
  <conditionalFormatting sqref="A1:A2">
    <cfRule type="duplicateValues" dxfId="0" priority="4"/>
  </conditionalFormatting>
  <conditionalFormatting sqref="K1:K2">
    <cfRule type="duplicateValues" dxfId="0" priority="3"/>
  </conditionalFormatting>
  <conditionalFormatting sqref="K3:K7">
    <cfRule type="duplicateValues" dxfId="0" priority="2"/>
  </conditionalFormatting>
  <conditionalFormatting sqref="K8:K18">
    <cfRule type="duplicateValues" dxfId="0" priority="1"/>
  </conditionalFormatting>
  <dataValidations count="1">
    <dataValidation allowBlank="1" showInputMessage="1" showErrorMessage="1" sqref="B3:C3 L24:M24 B4:B10 B12:B22 B39:B42 C4:C22 L8:L9 L11:L21 L39:L42 L45:L46 M8:M22 L3:M7"/>
  </dataValidations>
  <pageMargins left="0.75" right="0.75" top="1" bottom="1" header="0.5" footer="0.5"/>
  <pageSetup paperSize="9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F30" sqref="F30"/>
    </sheetView>
  </sheetViews>
  <sheetFormatPr defaultColWidth="9" defaultRowHeight="13.5" outlineLevelCol="7"/>
  <cols>
    <col min="1" max="1" width="15.625" customWidth="1"/>
    <col min="3" max="3" width="9.375"/>
    <col min="8" max="8" width="9.375"/>
  </cols>
  <sheetData>
    <row r="1" ht="16.5" spans="1:8">
      <c r="A1" s="116">
        <v>603</v>
      </c>
      <c r="B1" s="2">
        <f>SUM(B3:B30)</f>
        <v>10104.6</v>
      </c>
      <c r="C1" s="3" cm="1">
        <f t="array" ref="C1">SUMPRODUCT(C3:C30*B3:B30)/B1</f>
        <v>177.182273420027</v>
      </c>
      <c r="D1" s="4" cm="1">
        <f t="array" ref="D1">SUMPRODUCT(B3:B30*D3:D30)/B1</f>
        <v>4.00193654375235</v>
      </c>
      <c r="E1" s="3" cm="1">
        <f t="array" ref="E1">SUMPRODUCT(B3:B30*E3:E30)/B1</f>
        <v>79.9488193496032</v>
      </c>
      <c r="F1" s="3" cm="1">
        <f t="array" ref="F1">SUMPRODUCT(B3:B30*F3:F30)/B1</f>
        <v>94.5264889258358</v>
      </c>
      <c r="G1" s="3" cm="1">
        <f t="array" ref="G1">SUMPRODUCT(B3:B30*G3:G30)/B1</f>
        <v>11.4856364428082</v>
      </c>
    </row>
    <row r="2" ht="16.5" spans="1: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1185</v>
      </c>
      <c r="B3" s="9">
        <v>312.6</v>
      </c>
      <c r="C3" s="10">
        <v>89.8</v>
      </c>
      <c r="D3" s="11">
        <v>2.77</v>
      </c>
      <c r="E3" s="12">
        <v>62.1</v>
      </c>
      <c r="F3" s="12">
        <v>83.7</v>
      </c>
      <c r="G3" s="11">
        <v>13.79</v>
      </c>
      <c r="H3" s="9">
        <v>23080547</v>
      </c>
    </row>
    <row r="4" ht="16.5" spans="1:8">
      <c r="A4" s="39" t="s">
        <v>1186</v>
      </c>
      <c r="B4" s="9">
        <v>466.6</v>
      </c>
      <c r="C4" s="10">
        <v>90</v>
      </c>
      <c r="D4" s="11">
        <v>2.74</v>
      </c>
      <c r="E4" s="12">
        <v>79.8</v>
      </c>
      <c r="F4" s="12">
        <v>94.3</v>
      </c>
      <c r="G4" s="11">
        <v>12.71</v>
      </c>
      <c r="H4" s="9">
        <v>24070094</v>
      </c>
    </row>
    <row r="5" ht="16.5" spans="1:8">
      <c r="A5" s="39" t="s">
        <v>1187</v>
      </c>
      <c r="B5" s="9">
        <v>427.8</v>
      </c>
      <c r="C5" s="10">
        <v>190.1</v>
      </c>
      <c r="D5" s="11">
        <v>5.05</v>
      </c>
      <c r="E5" s="12">
        <v>61</v>
      </c>
      <c r="F5" s="12">
        <v>84.2</v>
      </c>
      <c r="G5" s="11">
        <v>10.93</v>
      </c>
      <c r="H5" s="9">
        <v>25010359</v>
      </c>
    </row>
    <row r="6" ht="16.5" spans="1:8">
      <c r="A6" s="39" t="s">
        <v>641</v>
      </c>
      <c r="B6" s="9">
        <v>528.6</v>
      </c>
      <c r="C6" s="10">
        <v>95.3</v>
      </c>
      <c r="D6" s="11">
        <v>2.51</v>
      </c>
      <c r="E6" s="12">
        <v>69.6</v>
      </c>
      <c r="F6" s="12">
        <v>90.4</v>
      </c>
      <c r="G6" s="11">
        <v>10.9</v>
      </c>
      <c r="H6" s="9">
        <v>25010373</v>
      </c>
    </row>
    <row r="7" ht="16.5" spans="1:8">
      <c r="A7" s="39" t="s">
        <v>1188</v>
      </c>
      <c r="B7" s="9">
        <v>420</v>
      </c>
      <c r="C7" s="10">
        <v>229.4</v>
      </c>
      <c r="D7" s="11">
        <v>5.71</v>
      </c>
      <c r="E7" s="12">
        <v>82.1</v>
      </c>
      <c r="F7" s="12">
        <v>95.6</v>
      </c>
      <c r="G7" s="11">
        <v>10.81</v>
      </c>
      <c r="H7" s="9">
        <v>25020364</v>
      </c>
    </row>
    <row r="8" ht="16.5" spans="1:8">
      <c r="A8" s="39" t="s">
        <v>1189</v>
      </c>
      <c r="B8" s="9">
        <v>277</v>
      </c>
      <c r="C8" s="10">
        <v>123.1</v>
      </c>
      <c r="D8" s="11">
        <v>2.87</v>
      </c>
      <c r="E8" s="12">
        <v>69.2</v>
      </c>
      <c r="F8" s="12">
        <v>90.6</v>
      </c>
      <c r="G8" s="11">
        <v>9.79</v>
      </c>
      <c r="H8" s="9">
        <v>25030076</v>
      </c>
    </row>
    <row r="9" ht="16.5" spans="1:8">
      <c r="A9" s="39" t="s">
        <v>1190</v>
      </c>
      <c r="B9" s="9">
        <v>536.2</v>
      </c>
      <c r="C9" s="10">
        <v>241.1</v>
      </c>
      <c r="D9" s="11">
        <v>5.79</v>
      </c>
      <c r="E9" s="12">
        <v>80.7</v>
      </c>
      <c r="F9" s="12">
        <v>95.4</v>
      </c>
      <c r="G9" s="11">
        <v>10.92</v>
      </c>
      <c r="H9" s="9">
        <v>25030282</v>
      </c>
    </row>
    <row r="10" ht="16.5" spans="1:8">
      <c r="A10" s="39" t="s">
        <v>1191</v>
      </c>
      <c r="B10" s="9">
        <v>435.2</v>
      </c>
      <c r="C10" s="10">
        <v>260.9</v>
      </c>
      <c r="D10" s="11">
        <v>5.6</v>
      </c>
      <c r="E10" s="12">
        <v>92.3</v>
      </c>
      <c r="F10" s="12">
        <v>99.4</v>
      </c>
      <c r="G10" s="11">
        <v>9.53</v>
      </c>
      <c r="H10" s="9">
        <v>25030372</v>
      </c>
    </row>
    <row r="11" ht="16.5" spans="1:8">
      <c r="A11" s="39" t="s">
        <v>1192</v>
      </c>
      <c r="B11" s="9">
        <v>506</v>
      </c>
      <c r="C11" s="10">
        <v>211.9</v>
      </c>
      <c r="D11" s="11">
        <v>4.2</v>
      </c>
      <c r="E11" s="12">
        <v>90.1</v>
      </c>
      <c r="F11" s="12">
        <v>98.6</v>
      </c>
      <c r="G11" s="11">
        <v>12.07</v>
      </c>
      <c r="H11" s="9">
        <v>25040181</v>
      </c>
    </row>
    <row r="12" ht="16.5" spans="1:8">
      <c r="A12" s="39" t="s">
        <v>1193</v>
      </c>
      <c r="B12" s="9">
        <v>500.4</v>
      </c>
      <c r="C12" s="10">
        <v>139.9</v>
      </c>
      <c r="D12" s="11">
        <v>3.53</v>
      </c>
      <c r="E12" s="12">
        <v>71.6</v>
      </c>
      <c r="F12" s="12">
        <v>91.8</v>
      </c>
      <c r="G12" s="11">
        <v>10.35</v>
      </c>
      <c r="H12" s="9">
        <v>25040252</v>
      </c>
    </row>
    <row r="13" ht="16.5" spans="1:8">
      <c r="A13" s="39" t="s">
        <v>1194</v>
      </c>
      <c r="B13" s="9">
        <v>777.6</v>
      </c>
      <c r="C13" s="10">
        <v>111</v>
      </c>
      <c r="D13" s="11">
        <v>3.09</v>
      </c>
      <c r="E13" s="12">
        <v>81</v>
      </c>
      <c r="F13" s="12">
        <v>96.9</v>
      </c>
      <c r="G13" s="11">
        <v>12.91</v>
      </c>
      <c r="H13" s="9">
        <v>25050170</v>
      </c>
    </row>
    <row r="14" ht="16.5" spans="1:8">
      <c r="A14" s="39" t="s">
        <v>1195</v>
      </c>
      <c r="B14" s="9">
        <v>298</v>
      </c>
      <c r="C14" s="10">
        <v>276.8</v>
      </c>
      <c r="D14" s="11">
        <v>4.15</v>
      </c>
      <c r="E14" s="12">
        <v>91.8</v>
      </c>
      <c r="F14" s="12">
        <v>98.9</v>
      </c>
      <c r="G14" s="11">
        <v>11.18</v>
      </c>
      <c r="H14" s="9">
        <v>25050198</v>
      </c>
    </row>
    <row r="15" ht="16.5" spans="1:8">
      <c r="A15" s="39" t="s">
        <v>1196</v>
      </c>
      <c r="B15" s="9">
        <v>804.4</v>
      </c>
      <c r="C15" s="10">
        <v>111.4</v>
      </c>
      <c r="D15" s="11">
        <v>3.03</v>
      </c>
      <c r="E15" s="12">
        <v>81.5</v>
      </c>
      <c r="F15" s="12">
        <v>97.1</v>
      </c>
      <c r="G15" s="11">
        <v>11.43</v>
      </c>
      <c r="H15" s="9">
        <v>25050210</v>
      </c>
    </row>
    <row r="16" ht="16.5" spans="1:8">
      <c r="A16" s="39" t="s">
        <v>1197</v>
      </c>
      <c r="B16" s="9">
        <v>813.2</v>
      </c>
      <c r="C16" s="10">
        <v>261</v>
      </c>
      <c r="D16" s="11">
        <v>4.15</v>
      </c>
      <c r="E16" s="12">
        <v>92.2</v>
      </c>
      <c r="F16" s="12">
        <v>98.6</v>
      </c>
      <c r="G16" s="11">
        <v>12.04</v>
      </c>
      <c r="H16" s="9">
        <v>25050243</v>
      </c>
    </row>
    <row r="17" ht="16.5" spans="1:8">
      <c r="A17" s="39" t="s">
        <v>1198</v>
      </c>
      <c r="B17" s="9">
        <v>803.2</v>
      </c>
      <c r="C17" s="10">
        <v>253.7</v>
      </c>
      <c r="D17" s="11">
        <v>4.38</v>
      </c>
      <c r="E17" s="12">
        <v>91.8</v>
      </c>
      <c r="F17" s="12">
        <v>98.7</v>
      </c>
      <c r="G17" s="11">
        <v>12.24</v>
      </c>
      <c r="H17" s="9">
        <v>25050245</v>
      </c>
    </row>
    <row r="18" ht="16.5" spans="1:8">
      <c r="A18" s="39" t="s">
        <v>1199</v>
      </c>
      <c r="B18" s="9">
        <v>518.8</v>
      </c>
      <c r="C18" s="10">
        <v>188.9</v>
      </c>
      <c r="D18" s="11">
        <v>5.19</v>
      </c>
      <c r="E18" s="12">
        <v>75.6</v>
      </c>
      <c r="F18" s="12">
        <v>92.5</v>
      </c>
      <c r="G18" s="11">
        <v>11.89</v>
      </c>
      <c r="H18" s="9">
        <v>25040403</v>
      </c>
    </row>
    <row r="19" ht="16.5" spans="1:8">
      <c r="A19" s="39" t="s">
        <v>1200</v>
      </c>
      <c r="B19" s="9">
        <v>215.4</v>
      </c>
      <c r="C19" s="10">
        <v>147.8</v>
      </c>
      <c r="D19" s="11">
        <v>3.67</v>
      </c>
      <c r="E19" s="12">
        <v>74.2</v>
      </c>
      <c r="F19" s="12">
        <v>92.2</v>
      </c>
      <c r="G19" s="11">
        <v>10.31</v>
      </c>
      <c r="H19" s="9">
        <v>25040510</v>
      </c>
    </row>
    <row r="20" ht="16.5" spans="1:8">
      <c r="A20" s="39" t="s">
        <v>1201</v>
      </c>
      <c r="B20" s="9">
        <v>542.4</v>
      </c>
      <c r="C20" s="10">
        <v>134.4</v>
      </c>
      <c r="D20" s="11">
        <v>3.28</v>
      </c>
      <c r="E20" s="12">
        <v>71.5</v>
      </c>
      <c r="F20" s="12">
        <v>90.8</v>
      </c>
      <c r="G20" s="11">
        <v>11.05</v>
      </c>
      <c r="H20" s="9">
        <v>25040547</v>
      </c>
    </row>
    <row r="21" ht="16.5" spans="1:8">
      <c r="A21" s="39" t="s">
        <v>1202</v>
      </c>
      <c r="B21" s="9">
        <v>406</v>
      </c>
      <c r="C21" s="10">
        <v>148.3</v>
      </c>
      <c r="D21" s="11">
        <v>3.24</v>
      </c>
      <c r="E21" s="12">
        <v>78.7</v>
      </c>
      <c r="F21" s="12">
        <v>94.7</v>
      </c>
      <c r="G21" s="11">
        <v>10.71</v>
      </c>
      <c r="H21" s="9">
        <v>25040331</v>
      </c>
    </row>
    <row r="22" ht="16.5" spans="1:8">
      <c r="A22" s="39" t="s">
        <v>1203</v>
      </c>
      <c r="B22" s="9">
        <v>515.2</v>
      </c>
      <c r="C22" s="10">
        <v>195.5</v>
      </c>
      <c r="D22" s="11">
        <v>5.11</v>
      </c>
      <c r="E22" s="12">
        <v>76.2</v>
      </c>
      <c r="F22" s="12">
        <v>92.7</v>
      </c>
      <c r="G22" s="11">
        <v>11.49</v>
      </c>
      <c r="H22" s="9">
        <v>25050020</v>
      </c>
    </row>
    <row r="23" ht="16.5" spans="1:8">
      <c r="A23" s="115"/>
      <c r="B23" s="109"/>
      <c r="C23" s="111"/>
      <c r="D23" s="112"/>
      <c r="E23" s="113"/>
      <c r="F23" s="113"/>
      <c r="G23" s="112"/>
      <c r="H23" s="155"/>
    </row>
    <row r="25" ht="16.5" spans="1:8">
      <c r="A25" s="23"/>
      <c r="B25" s="14"/>
      <c r="C25" s="15"/>
      <c r="D25" s="16"/>
      <c r="E25" s="17"/>
      <c r="F25" s="17"/>
      <c r="G25" s="16"/>
      <c r="H25" s="14"/>
    </row>
    <row r="38" ht="16.5" spans="1:3">
      <c r="A38" s="23" t="s">
        <v>1197</v>
      </c>
      <c r="B38" s="14">
        <v>813.2</v>
      </c>
      <c r="C38" s="14">
        <v>25050243</v>
      </c>
    </row>
    <row r="39" ht="16.5" spans="1:3">
      <c r="A39" s="23" t="s">
        <v>1198</v>
      </c>
      <c r="B39" s="14">
        <v>803.2</v>
      </c>
      <c r="C39" s="14">
        <v>25050245</v>
      </c>
    </row>
    <row r="40" ht="16.5" spans="1:3">
      <c r="A40" s="23" t="s">
        <v>1204</v>
      </c>
      <c r="B40" s="14">
        <v>516.4</v>
      </c>
      <c r="C40" s="14">
        <v>25040402</v>
      </c>
    </row>
    <row r="41" ht="16.5" spans="1:3">
      <c r="A41" s="23" t="s">
        <v>1199</v>
      </c>
      <c r="B41" s="14">
        <v>518.8</v>
      </c>
      <c r="C41" s="14">
        <v>25040403</v>
      </c>
    </row>
    <row r="42" ht="16.5" spans="1:3">
      <c r="A42" s="23" t="s">
        <v>1200</v>
      </c>
      <c r="B42" s="14">
        <v>215.4</v>
      </c>
      <c r="C42" s="14">
        <v>25040510</v>
      </c>
    </row>
    <row r="43" ht="16.5" spans="1:3">
      <c r="A43" s="23" t="s">
        <v>1201</v>
      </c>
      <c r="B43" s="14">
        <v>542.4</v>
      </c>
      <c r="C43" s="14">
        <v>25040547</v>
      </c>
    </row>
    <row r="44" ht="16.5" spans="1:3">
      <c r="A44" s="23" t="s">
        <v>1202</v>
      </c>
      <c r="B44" s="14">
        <v>406</v>
      </c>
      <c r="C44" s="14">
        <v>25040331</v>
      </c>
    </row>
    <row r="46" ht="16.5" spans="1:3">
      <c r="A46" s="23" t="s">
        <v>1205</v>
      </c>
      <c r="B46" s="14">
        <v>490.6</v>
      </c>
      <c r="C46" s="156">
        <v>25040061</v>
      </c>
    </row>
    <row r="47" ht="16.5" spans="1:3">
      <c r="A47" s="23" t="s">
        <v>1203</v>
      </c>
      <c r="B47" s="14">
        <v>515.2</v>
      </c>
      <c r="C47" s="14">
        <v>25050020</v>
      </c>
    </row>
    <row r="48" ht="16.5" spans="1:3">
      <c r="A48" s="23" t="s">
        <v>1206</v>
      </c>
      <c r="B48" s="14">
        <v>523.8</v>
      </c>
      <c r="C48" s="14">
        <v>25050236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25:C25 B4:B10 B12:B18 B20:B23 B38:B41 B43:B44 B46:B48 C4:C23"/>
  </dataValidations>
  <pageMargins left="0.75" right="0.75" top="1" bottom="1" header="0.5" footer="0.5"/>
  <pageSetup paperSize="9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35" sqref="$A35:$XFD44"/>
    </sheetView>
  </sheetViews>
  <sheetFormatPr defaultColWidth="9" defaultRowHeight="13.5" outlineLevelCol="6"/>
  <cols>
    <col min="1" max="1" width="15.625" customWidth="1"/>
    <col min="3" max="3" width="9.375"/>
    <col min="7" max="7" width="9.375"/>
  </cols>
  <sheetData>
    <row r="1" ht="16.5" spans="1:7">
      <c r="A1" s="116">
        <v>604</v>
      </c>
      <c r="B1" s="2">
        <f>SUM(B3:B30)</f>
        <v>10125.4</v>
      </c>
      <c r="C1" s="3" cm="1">
        <f t="array" ref="C1">SUMPRODUCT(C3:C30*B3:B30)/B1</f>
        <v>247.449131886148</v>
      </c>
      <c r="D1" s="4" cm="1">
        <f t="array" ref="D1">SUMPRODUCT(B3:B30*D3:D30)/B1</f>
        <v>4.97115116439844</v>
      </c>
      <c r="E1" s="3" cm="1">
        <f t="array" ref="E1">SUMPRODUCT(B3:B30*E3:E30)/B1</f>
        <v>82.6897031228396</v>
      </c>
      <c r="F1" s="3" cm="1">
        <f t="array" ref="F1">SUMPRODUCT(B3:B30*F3:F30)/B1</f>
        <v>94.8267505481265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1207</v>
      </c>
      <c r="B3" s="9">
        <v>841.6</v>
      </c>
      <c r="C3" s="10">
        <v>243</v>
      </c>
      <c r="D3" s="11">
        <v>4.8</v>
      </c>
      <c r="E3" s="12">
        <v>84.3</v>
      </c>
      <c r="F3" s="12">
        <v>96.3</v>
      </c>
      <c r="G3" s="67">
        <v>25060005</v>
      </c>
    </row>
    <row r="4" ht="16.5" spans="1:7">
      <c r="A4" s="39" t="s">
        <v>1208</v>
      </c>
      <c r="B4" s="9">
        <v>297.8</v>
      </c>
      <c r="C4" s="10">
        <v>246.5</v>
      </c>
      <c r="D4" s="11">
        <v>6.43</v>
      </c>
      <c r="E4" s="12">
        <v>79.6</v>
      </c>
      <c r="F4" s="12">
        <v>93.8</v>
      </c>
      <c r="G4" s="9">
        <v>25010415</v>
      </c>
    </row>
    <row r="5" ht="16.5" spans="1:7">
      <c r="A5" s="39" t="s">
        <v>1209</v>
      </c>
      <c r="B5" s="9">
        <v>446.4</v>
      </c>
      <c r="C5" s="10">
        <v>244.7</v>
      </c>
      <c r="D5" s="11">
        <v>4.72</v>
      </c>
      <c r="E5" s="12">
        <v>87.4</v>
      </c>
      <c r="F5" s="12">
        <v>97</v>
      </c>
      <c r="G5" s="9">
        <v>25010465</v>
      </c>
    </row>
    <row r="6" ht="16.5" spans="1:7">
      <c r="A6" s="39" t="s">
        <v>1210</v>
      </c>
      <c r="B6" s="9">
        <v>847.2</v>
      </c>
      <c r="C6" s="10">
        <v>238.4</v>
      </c>
      <c r="D6" s="11">
        <v>4.15</v>
      </c>
      <c r="E6" s="12">
        <v>89</v>
      </c>
      <c r="F6" s="12">
        <v>98.3</v>
      </c>
      <c r="G6" s="9">
        <v>25050218</v>
      </c>
    </row>
    <row r="7" ht="16.5" spans="1:7">
      <c r="A7" s="39" t="s">
        <v>1211</v>
      </c>
      <c r="B7" s="9">
        <v>384</v>
      </c>
      <c r="C7" s="10">
        <v>238</v>
      </c>
      <c r="D7" s="11">
        <v>6.43</v>
      </c>
      <c r="E7" s="12">
        <v>67.8</v>
      </c>
      <c r="F7" s="12">
        <v>87.3</v>
      </c>
      <c r="G7" s="9">
        <v>25020247</v>
      </c>
    </row>
    <row r="8" ht="16.5" spans="1:7">
      <c r="A8" s="39" t="s">
        <v>1212</v>
      </c>
      <c r="B8" s="9">
        <v>486.8</v>
      </c>
      <c r="C8" s="10">
        <v>233.2</v>
      </c>
      <c r="D8" s="11">
        <v>6.64</v>
      </c>
      <c r="E8" s="12">
        <v>70</v>
      </c>
      <c r="F8" s="12">
        <v>89.1</v>
      </c>
      <c r="G8" s="9">
        <v>25020249</v>
      </c>
    </row>
    <row r="9" ht="16.5" spans="1:7">
      <c r="A9" s="39" t="s">
        <v>1213</v>
      </c>
      <c r="B9" s="9">
        <v>488.2</v>
      </c>
      <c r="C9" s="10">
        <v>272.6</v>
      </c>
      <c r="D9" s="11">
        <v>4.43</v>
      </c>
      <c r="E9" s="12">
        <v>91</v>
      </c>
      <c r="F9" s="12">
        <v>98.1</v>
      </c>
      <c r="G9" s="9">
        <v>25040493</v>
      </c>
    </row>
    <row r="10" ht="16.5" spans="1:7">
      <c r="A10" s="39" t="s">
        <v>1214</v>
      </c>
      <c r="B10" s="9">
        <v>493.2</v>
      </c>
      <c r="C10" s="10">
        <v>229.6</v>
      </c>
      <c r="D10" s="11">
        <v>5.35</v>
      </c>
      <c r="E10" s="12">
        <v>57.1</v>
      </c>
      <c r="F10" s="12">
        <v>82.2</v>
      </c>
      <c r="G10" s="9">
        <v>25020083</v>
      </c>
    </row>
    <row r="11" ht="16.5" spans="1:7">
      <c r="A11" s="39" t="s">
        <v>1215</v>
      </c>
      <c r="B11" s="9">
        <v>505.6</v>
      </c>
      <c r="C11" s="10">
        <v>191.5</v>
      </c>
      <c r="D11" s="11">
        <v>5.68</v>
      </c>
      <c r="E11" s="12">
        <v>54.1</v>
      </c>
      <c r="F11" s="12">
        <v>81.5</v>
      </c>
      <c r="G11" s="9">
        <v>25020169</v>
      </c>
    </row>
    <row r="12" ht="16.5" spans="1:7">
      <c r="A12" s="39" t="s">
        <v>1216</v>
      </c>
      <c r="B12" s="9">
        <v>525.4</v>
      </c>
      <c r="C12" s="10">
        <v>250.6</v>
      </c>
      <c r="D12" s="11">
        <v>4.86</v>
      </c>
      <c r="E12" s="12">
        <v>90.1</v>
      </c>
      <c r="F12" s="12">
        <v>98.1</v>
      </c>
      <c r="G12" s="9">
        <v>25030353</v>
      </c>
    </row>
    <row r="13" ht="16.5" spans="1:7">
      <c r="A13" s="39" t="s">
        <v>1217</v>
      </c>
      <c r="B13" s="9">
        <v>392</v>
      </c>
      <c r="C13" s="10">
        <v>256.7</v>
      </c>
      <c r="D13" s="11">
        <v>4.41</v>
      </c>
      <c r="E13" s="12">
        <v>92</v>
      </c>
      <c r="F13" s="12">
        <v>99</v>
      </c>
      <c r="G13" s="9">
        <v>25050076</v>
      </c>
    </row>
    <row r="14" ht="16.5" spans="1:7">
      <c r="A14" s="39" t="s">
        <v>1218</v>
      </c>
      <c r="B14" s="9">
        <v>295.4</v>
      </c>
      <c r="C14" s="10">
        <v>222.9</v>
      </c>
      <c r="D14" s="11">
        <v>5.66</v>
      </c>
      <c r="E14" s="12">
        <v>65.6</v>
      </c>
      <c r="F14" s="12">
        <v>86.9</v>
      </c>
      <c r="G14" s="9">
        <v>25010079</v>
      </c>
    </row>
    <row r="15" ht="16.5" spans="1:7">
      <c r="A15" s="39" t="s">
        <v>1219</v>
      </c>
      <c r="B15" s="9">
        <v>391.6</v>
      </c>
      <c r="C15" s="10">
        <v>274.2</v>
      </c>
      <c r="D15" s="11">
        <v>4.49</v>
      </c>
      <c r="E15" s="12">
        <v>87.5</v>
      </c>
      <c r="F15" s="12">
        <v>97</v>
      </c>
      <c r="G15" s="67">
        <v>25060003</v>
      </c>
    </row>
    <row r="16" ht="16.5" spans="1:7">
      <c r="A16" s="39" t="s">
        <v>1220</v>
      </c>
      <c r="B16" s="9">
        <v>299.2</v>
      </c>
      <c r="C16" s="10">
        <v>263.1</v>
      </c>
      <c r="D16" s="11">
        <v>4.46</v>
      </c>
      <c r="E16" s="12">
        <v>88.1</v>
      </c>
      <c r="F16" s="12">
        <v>97.5</v>
      </c>
      <c r="G16" s="67">
        <v>25060004</v>
      </c>
    </row>
    <row r="17" ht="16.5" spans="1:7">
      <c r="A17" s="39" t="s">
        <v>1221</v>
      </c>
      <c r="B17" s="9">
        <v>324.6</v>
      </c>
      <c r="C17" s="10">
        <v>245</v>
      </c>
      <c r="D17" s="11">
        <v>4.82</v>
      </c>
      <c r="E17" s="12">
        <v>84.4</v>
      </c>
      <c r="F17" s="12">
        <v>96.3</v>
      </c>
      <c r="G17" s="67">
        <v>25060006</v>
      </c>
    </row>
    <row r="18" ht="16.5" spans="1:7">
      <c r="A18" s="39" t="s">
        <v>1222</v>
      </c>
      <c r="B18" s="9">
        <v>239.2</v>
      </c>
      <c r="C18" s="10">
        <v>274.3</v>
      </c>
      <c r="D18" s="11">
        <v>4.43</v>
      </c>
      <c r="E18" s="12">
        <v>87.9</v>
      </c>
      <c r="F18" s="12">
        <v>96.5</v>
      </c>
      <c r="G18" s="67">
        <v>25060010</v>
      </c>
    </row>
    <row r="19" ht="16.5" spans="1:7">
      <c r="A19" s="39" t="s">
        <v>1223</v>
      </c>
      <c r="B19" s="9">
        <v>279.2</v>
      </c>
      <c r="C19" s="10">
        <v>249.7</v>
      </c>
      <c r="D19" s="11">
        <v>5.3</v>
      </c>
      <c r="E19" s="12">
        <v>87</v>
      </c>
      <c r="F19" s="12">
        <v>97</v>
      </c>
      <c r="G19" s="9">
        <v>25020301</v>
      </c>
    </row>
    <row r="20" ht="16.5" spans="1:7">
      <c r="A20" s="39" t="s">
        <v>1224</v>
      </c>
      <c r="B20" s="9">
        <v>739.2</v>
      </c>
      <c r="C20" s="10">
        <v>245.4</v>
      </c>
      <c r="D20" s="11">
        <v>4.11</v>
      </c>
      <c r="E20" s="12">
        <v>90.1</v>
      </c>
      <c r="F20" s="12">
        <v>98.8</v>
      </c>
      <c r="G20" s="9">
        <v>25050216</v>
      </c>
    </row>
    <row r="21" ht="16.5" spans="1:7">
      <c r="A21" s="39" t="s">
        <v>1225</v>
      </c>
      <c r="B21" s="9">
        <v>765.2</v>
      </c>
      <c r="C21" s="10">
        <v>279.7</v>
      </c>
      <c r="D21" s="11">
        <v>4.8</v>
      </c>
      <c r="E21" s="12">
        <v>91.5</v>
      </c>
      <c r="F21" s="12">
        <v>98.5</v>
      </c>
      <c r="G21" s="9">
        <v>25030108</v>
      </c>
    </row>
    <row r="22" ht="16.5" spans="1:7">
      <c r="A22" s="23" t="s">
        <v>1226</v>
      </c>
      <c r="B22" s="14">
        <v>541.8</v>
      </c>
      <c r="C22" s="15">
        <v>251.7</v>
      </c>
      <c r="D22" s="16">
        <v>5.3</v>
      </c>
      <c r="E22" s="17">
        <v>84.2</v>
      </c>
      <c r="F22" s="17">
        <v>95</v>
      </c>
      <c r="G22" s="14">
        <v>25010215</v>
      </c>
    </row>
    <row r="23" ht="16.5" spans="1:7">
      <c r="A23" s="23" t="s">
        <v>1227</v>
      </c>
      <c r="B23" s="14">
        <v>541.8</v>
      </c>
      <c r="C23" s="15">
        <v>253.7</v>
      </c>
      <c r="D23" s="16">
        <v>4.89</v>
      </c>
      <c r="E23" s="17">
        <v>91.9</v>
      </c>
      <c r="F23" s="17">
        <v>98.9</v>
      </c>
      <c r="G23" s="14">
        <v>25010318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3 B23 B4:B8 B10:B21 C4:C23"/>
  </dataValidations>
  <pageMargins left="0.75" right="0.75" top="1" bottom="1" header="0.5" footer="0.5"/>
  <pageSetup paperSize="9" orientation="portrait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I33" sqref="I33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605</v>
      </c>
      <c r="B1" s="2">
        <f>SUM(B3:B30)</f>
        <v>10021.2</v>
      </c>
      <c r="C1" s="3" cm="1">
        <f t="array" ref="C1">SUMPRODUCT(C3:C30*B3:B30)/B1</f>
        <v>170.42797269788</v>
      </c>
      <c r="D1" s="4" cm="1">
        <f t="array" ref="D1">SUMPRODUCT(B3:B30*D3:D30)/B1</f>
        <v>3.89716600806291</v>
      </c>
      <c r="E1" s="3" cm="1">
        <f t="array" ref="E1">SUMPRODUCT(B3:B30*E3:E30)/B1</f>
        <v>79.6962499501058</v>
      </c>
      <c r="F1" s="3" cm="1">
        <f t="array" ref="F1">SUMPRODUCT(B3:B30*F3:F30)/B1</f>
        <v>94.4316149762504</v>
      </c>
    </row>
    <row r="2" ht="16.5" spans="1:7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1228</v>
      </c>
      <c r="B3" s="9">
        <v>425.4</v>
      </c>
      <c r="C3" s="10">
        <v>188.7</v>
      </c>
      <c r="D3" s="11">
        <v>4.89</v>
      </c>
      <c r="E3" s="12">
        <v>72.9</v>
      </c>
      <c r="F3" s="12">
        <v>91</v>
      </c>
      <c r="G3" s="24">
        <v>25050251</v>
      </c>
    </row>
    <row r="4" ht="16.5" spans="1:7">
      <c r="A4" s="39" t="s">
        <v>1229</v>
      </c>
      <c r="B4" s="9">
        <v>367.2</v>
      </c>
      <c r="C4" s="10">
        <v>146.8</v>
      </c>
      <c r="D4" s="11">
        <v>3.77</v>
      </c>
      <c r="E4" s="12">
        <v>78.8</v>
      </c>
      <c r="F4" s="12">
        <v>94.8</v>
      </c>
      <c r="G4" s="24">
        <v>25040211</v>
      </c>
    </row>
    <row r="5" ht="16.5" spans="1:7">
      <c r="A5" s="39" t="s">
        <v>1230</v>
      </c>
      <c r="B5" s="9">
        <v>871.2</v>
      </c>
      <c r="C5" s="10">
        <v>206.9</v>
      </c>
      <c r="D5" s="11">
        <v>4.03</v>
      </c>
      <c r="E5" s="12">
        <v>88.7</v>
      </c>
      <c r="F5" s="12">
        <v>97.9</v>
      </c>
      <c r="G5" s="24">
        <v>25050187</v>
      </c>
    </row>
    <row r="6" ht="16.5" spans="1:7">
      <c r="A6" s="39" t="s">
        <v>1231</v>
      </c>
      <c r="B6" s="9">
        <v>718.4</v>
      </c>
      <c r="C6" s="10">
        <v>132.7</v>
      </c>
      <c r="D6" s="11">
        <v>3.53</v>
      </c>
      <c r="E6" s="12">
        <v>81.9</v>
      </c>
      <c r="F6" s="12">
        <v>96.2</v>
      </c>
      <c r="G6" s="24">
        <v>25050253</v>
      </c>
    </row>
    <row r="7" ht="16.5" spans="1:7">
      <c r="A7" s="39" t="s">
        <v>1232</v>
      </c>
      <c r="B7" s="9">
        <v>633.2</v>
      </c>
      <c r="C7" s="10">
        <v>277.8</v>
      </c>
      <c r="D7" s="11">
        <v>4.43</v>
      </c>
      <c r="E7" s="12">
        <v>89.4</v>
      </c>
      <c r="F7" s="12">
        <v>97.9</v>
      </c>
      <c r="G7" s="118">
        <v>25060001</v>
      </c>
    </row>
    <row r="8" ht="16.5" spans="1:7">
      <c r="A8" s="39" t="s">
        <v>1233</v>
      </c>
      <c r="B8" s="9">
        <v>809.6</v>
      </c>
      <c r="C8" s="10">
        <v>115.9</v>
      </c>
      <c r="D8" s="11">
        <v>3.31</v>
      </c>
      <c r="E8" s="12">
        <v>74.4</v>
      </c>
      <c r="F8" s="12">
        <v>94.1</v>
      </c>
      <c r="G8" s="24">
        <v>25050159</v>
      </c>
    </row>
    <row r="9" ht="16.5" spans="1:7">
      <c r="A9" s="39" t="s">
        <v>1234</v>
      </c>
      <c r="B9" s="9">
        <v>930</v>
      </c>
      <c r="C9" s="10">
        <v>158.8</v>
      </c>
      <c r="D9" s="11">
        <v>4.2</v>
      </c>
      <c r="E9" s="12">
        <v>74.9</v>
      </c>
      <c r="F9" s="12">
        <v>90.8</v>
      </c>
      <c r="G9" s="118">
        <v>25060017</v>
      </c>
    </row>
    <row r="10" ht="16.5" spans="1:7">
      <c r="A10" s="39" t="s">
        <v>1235</v>
      </c>
      <c r="B10" s="9">
        <v>792.4</v>
      </c>
      <c r="C10" s="10">
        <v>114.2</v>
      </c>
      <c r="D10" s="11">
        <v>3.03</v>
      </c>
      <c r="E10" s="12">
        <v>79</v>
      </c>
      <c r="F10" s="12">
        <v>95.3</v>
      </c>
      <c r="G10" s="24">
        <v>25050256</v>
      </c>
    </row>
    <row r="11" ht="16.5" spans="1:7">
      <c r="A11" s="39" t="s">
        <v>1236</v>
      </c>
      <c r="B11" s="9">
        <v>827.8</v>
      </c>
      <c r="C11" s="10">
        <v>198.5</v>
      </c>
      <c r="D11" s="11">
        <v>4.77</v>
      </c>
      <c r="E11" s="12">
        <v>78.4</v>
      </c>
      <c r="F11" s="12">
        <v>94.2</v>
      </c>
      <c r="G11" s="118">
        <v>25060007</v>
      </c>
    </row>
    <row r="12" ht="16.5" spans="1:7">
      <c r="A12" s="68" t="s">
        <v>1237</v>
      </c>
      <c r="B12" s="56">
        <v>845.2</v>
      </c>
      <c r="C12" s="12">
        <v>273.1</v>
      </c>
      <c r="D12" s="57">
        <v>4.49</v>
      </c>
      <c r="E12" s="12">
        <v>89.4</v>
      </c>
      <c r="F12" s="12">
        <v>97.6</v>
      </c>
      <c r="G12" s="118">
        <v>25060002</v>
      </c>
    </row>
    <row r="13" ht="16.5" spans="1:7">
      <c r="A13" s="39" t="s">
        <v>1238</v>
      </c>
      <c r="B13" s="9">
        <v>795.2</v>
      </c>
      <c r="C13" s="10">
        <v>198.1</v>
      </c>
      <c r="D13" s="11">
        <v>4.52</v>
      </c>
      <c r="E13" s="12">
        <v>86.6</v>
      </c>
      <c r="F13" s="12">
        <v>97</v>
      </c>
      <c r="G13" s="24">
        <v>25050191</v>
      </c>
    </row>
    <row r="14" ht="16.5" spans="1:7">
      <c r="A14" s="39" t="s">
        <v>1239</v>
      </c>
      <c r="B14" s="9">
        <v>510.4</v>
      </c>
      <c r="C14" s="10">
        <v>103.6</v>
      </c>
      <c r="D14" s="11">
        <v>2.67</v>
      </c>
      <c r="E14" s="12">
        <v>62.8</v>
      </c>
      <c r="F14" s="12">
        <v>83.9</v>
      </c>
      <c r="G14" s="24">
        <v>25010254</v>
      </c>
    </row>
    <row r="15" ht="16.5" spans="1:7">
      <c r="A15" s="39" t="s">
        <v>1240</v>
      </c>
      <c r="B15" s="9">
        <v>868.2</v>
      </c>
      <c r="C15" s="10">
        <v>114.2</v>
      </c>
      <c r="D15" s="11">
        <v>3.21</v>
      </c>
      <c r="E15" s="12">
        <v>74.9</v>
      </c>
      <c r="F15" s="12">
        <v>93.9</v>
      </c>
      <c r="G15" s="24">
        <v>25050160</v>
      </c>
    </row>
    <row r="16" ht="16.5" spans="1:7">
      <c r="A16" s="39" t="s">
        <v>1241</v>
      </c>
      <c r="B16" s="9">
        <v>627</v>
      </c>
      <c r="C16" s="10">
        <v>136.4</v>
      </c>
      <c r="D16" s="11">
        <v>3.61</v>
      </c>
      <c r="E16" s="12">
        <v>75.1</v>
      </c>
      <c r="F16" s="12">
        <v>93</v>
      </c>
      <c r="G16" s="24">
        <v>25050146</v>
      </c>
    </row>
  </sheetData>
  <conditionalFormatting sqref="A5">
    <cfRule type="duplicateValues" dxfId="0" priority="9"/>
  </conditionalFormatting>
  <conditionalFormatting sqref="A6">
    <cfRule type="duplicateValues" dxfId="0" priority="8"/>
  </conditionalFormatting>
  <conditionalFormatting sqref="A7">
    <cfRule type="duplicateValues" dxfId="0" priority="7"/>
  </conditionalFormatting>
  <conditionalFormatting sqref="A8">
    <cfRule type="duplicateValues" dxfId="0" priority="6"/>
  </conditionalFormatting>
  <conditionalFormatting sqref="A10">
    <cfRule type="duplicateValues" dxfId="0" priority="5"/>
  </conditionalFormatting>
  <conditionalFormatting sqref="A11">
    <cfRule type="duplicateValues" dxfId="0" priority="4"/>
  </conditionalFormatting>
  <conditionalFormatting sqref="A12">
    <cfRule type="duplicateValues" dxfId="0" priority="3"/>
  </conditionalFormatting>
  <conditionalFormatting sqref="A1:A2">
    <cfRule type="duplicateValues" dxfId="0" priority="11"/>
  </conditionalFormatting>
  <conditionalFormatting sqref="A3:A4">
    <cfRule type="duplicateValues" dxfId="0" priority="10"/>
  </conditionalFormatting>
  <conditionalFormatting sqref="A13:A14">
    <cfRule type="duplicateValues" dxfId="0" priority="2"/>
  </conditionalFormatting>
  <conditionalFormatting sqref="A15:A16">
    <cfRule type="duplicateValues" dxfId="0" priority="1"/>
  </conditionalFormatting>
  <dataValidations count="1">
    <dataValidation allowBlank="1" showInputMessage="1" showErrorMessage="1" sqref="B3:C16"/>
  </dataValidations>
  <pageMargins left="0.75" right="0.75" top="1" bottom="1" header="0.5" footer="0.5"/>
  <pageSetup paperSize="9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H22" sqref="H22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606</v>
      </c>
      <c r="B1" s="2">
        <f>SUM(B3:B30)</f>
        <v>10135.4</v>
      </c>
      <c r="C1" s="3" cm="1">
        <f t="array" ref="C1">SUMPRODUCT(C3:C30*B3:B30)/B1</f>
        <v>227.880675651676</v>
      </c>
      <c r="D1" s="4" cm="1">
        <f t="array" ref="D1">SUMPRODUCT(B3:B30*D3:D30)/B1</f>
        <v>4.9757763877104</v>
      </c>
      <c r="E1" s="3" cm="1">
        <f t="array" ref="E1">SUMPRODUCT(B3:B30*E3:E30)/B1</f>
        <v>82.7546046529984</v>
      </c>
      <c r="F1" s="3" cm="1">
        <f t="array" ref="F1">SUMPRODUCT(B3:B30*F3:F30)/B1</f>
        <v>95.0526116384159</v>
      </c>
    </row>
    <row r="2" ht="16.5" spans="1:7">
      <c r="A2" s="6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1242</v>
      </c>
      <c r="B3" s="9">
        <v>469.6</v>
      </c>
      <c r="C3" s="10">
        <v>233.7</v>
      </c>
      <c r="D3" s="11">
        <v>5.63</v>
      </c>
      <c r="E3" s="12">
        <v>80.1</v>
      </c>
      <c r="F3" s="12">
        <v>93.1</v>
      </c>
      <c r="G3" s="9">
        <v>24060185</v>
      </c>
    </row>
    <row r="4" ht="16.5" spans="1:7">
      <c r="A4" s="39" t="s">
        <v>1243</v>
      </c>
      <c r="B4" s="9">
        <v>854.6</v>
      </c>
      <c r="C4" s="10">
        <v>203.1</v>
      </c>
      <c r="D4" s="11">
        <v>3.91</v>
      </c>
      <c r="E4" s="12">
        <v>85.1</v>
      </c>
      <c r="F4" s="12">
        <v>96</v>
      </c>
      <c r="G4" s="9">
        <v>25050177</v>
      </c>
    </row>
    <row r="5" ht="16.5" spans="1:7">
      <c r="A5" s="39" t="s">
        <v>922</v>
      </c>
      <c r="B5" s="9">
        <v>483.2</v>
      </c>
      <c r="C5" s="10">
        <v>241.8</v>
      </c>
      <c r="D5" s="11">
        <v>5.27</v>
      </c>
      <c r="E5" s="12">
        <v>73.9</v>
      </c>
      <c r="F5" s="12">
        <v>90.2</v>
      </c>
      <c r="G5" s="9">
        <v>25010467</v>
      </c>
    </row>
    <row r="6" ht="16.5" spans="1:7">
      <c r="A6" s="39" t="s">
        <v>1244</v>
      </c>
      <c r="B6" s="9">
        <v>810.6</v>
      </c>
      <c r="C6" s="10">
        <v>231.5</v>
      </c>
      <c r="D6" s="11">
        <v>4.15</v>
      </c>
      <c r="E6" s="12">
        <v>89.6</v>
      </c>
      <c r="F6" s="12">
        <v>97.7</v>
      </c>
      <c r="G6" s="9">
        <v>25050186</v>
      </c>
    </row>
    <row r="7" ht="16.5" spans="1:7">
      <c r="A7" s="39" t="s">
        <v>1245</v>
      </c>
      <c r="B7" s="9">
        <v>507</v>
      </c>
      <c r="C7" s="10">
        <v>232.5</v>
      </c>
      <c r="D7" s="11">
        <v>5.68</v>
      </c>
      <c r="E7" s="12">
        <v>79.9</v>
      </c>
      <c r="F7" s="12">
        <v>93</v>
      </c>
      <c r="G7" s="9">
        <v>24060186</v>
      </c>
    </row>
    <row r="8" ht="16.5" spans="1:7">
      <c r="A8" s="39" t="s">
        <v>1246</v>
      </c>
      <c r="B8" s="9">
        <v>851.4</v>
      </c>
      <c r="C8" s="10">
        <v>260.3</v>
      </c>
      <c r="D8" s="11">
        <v>4.12</v>
      </c>
      <c r="E8" s="12">
        <v>91.5</v>
      </c>
      <c r="F8" s="12">
        <v>98.6</v>
      </c>
      <c r="G8" s="9">
        <v>25050175</v>
      </c>
    </row>
    <row r="9" ht="16.5" spans="1:7">
      <c r="A9" s="39" t="s">
        <v>1247</v>
      </c>
      <c r="B9" s="9">
        <v>258.2</v>
      </c>
      <c r="C9" s="10">
        <v>231.6</v>
      </c>
      <c r="D9" s="11">
        <v>6.24</v>
      </c>
      <c r="E9" s="12">
        <v>75.8</v>
      </c>
      <c r="F9" s="12">
        <v>92.3</v>
      </c>
      <c r="G9" s="9">
        <v>25020334</v>
      </c>
    </row>
    <row r="10" ht="16.5" spans="1:7">
      <c r="A10" s="39" t="s">
        <v>1248</v>
      </c>
      <c r="B10" s="9">
        <v>388</v>
      </c>
      <c r="C10" s="10">
        <v>228.1</v>
      </c>
      <c r="D10" s="11">
        <v>6.37</v>
      </c>
      <c r="E10" s="12">
        <v>76.4</v>
      </c>
      <c r="F10" s="12">
        <v>93</v>
      </c>
      <c r="G10" s="9">
        <v>25010393</v>
      </c>
    </row>
    <row r="11" ht="16.5" spans="1:7">
      <c r="A11" s="39" t="s">
        <v>1249</v>
      </c>
      <c r="B11" s="9">
        <v>803.6</v>
      </c>
      <c r="C11" s="10">
        <v>256.1</v>
      </c>
      <c r="D11" s="11">
        <v>4.15</v>
      </c>
      <c r="E11" s="12">
        <v>92.4</v>
      </c>
      <c r="F11" s="12">
        <v>98.8</v>
      </c>
      <c r="G11" s="9">
        <v>25050163</v>
      </c>
    </row>
    <row r="12" ht="16.5" spans="1:7">
      <c r="A12" s="39" t="s">
        <v>1250</v>
      </c>
      <c r="B12" s="9">
        <v>534.4</v>
      </c>
      <c r="C12" s="10">
        <v>248.8</v>
      </c>
      <c r="D12" s="11">
        <v>5.73</v>
      </c>
      <c r="E12" s="12">
        <v>83.4</v>
      </c>
      <c r="F12" s="12">
        <v>95.6</v>
      </c>
      <c r="G12" s="9">
        <v>25020270</v>
      </c>
    </row>
    <row r="13" ht="16.5" spans="1:7">
      <c r="A13" s="39" t="s">
        <v>1251</v>
      </c>
      <c r="B13" s="9">
        <v>200.8</v>
      </c>
      <c r="C13" s="10">
        <v>191.7</v>
      </c>
      <c r="D13" s="11">
        <v>4.86</v>
      </c>
      <c r="E13" s="12">
        <v>73.5</v>
      </c>
      <c r="F13" s="12">
        <v>91.5</v>
      </c>
      <c r="G13" s="9">
        <v>25050022</v>
      </c>
    </row>
    <row r="14" ht="16.5" spans="1:7">
      <c r="A14" s="39" t="s">
        <v>1252</v>
      </c>
      <c r="B14" s="9">
        <v>350.2</v>
      </c>
      <c r="C14" s="10">
        <v>246</v>
      </c>
      <c r="D14" s="11">
        <v>4.08</v>
      </c>
      <c r="E14" s="12">
        <v>90.2</v>
      </c>
      <c r="F14" s="12">
        <v>98.7</v>
      </c>
      <c r="G14" s="9">
        <v>25050217</v>
      </c>
    </row>
    <row r="15" ht="16.5" spans="1:7">
      <c r="A15" s="39" t="s">
        <v>1253</v>
      </c>
      <c r="B15" s="9">
        <v>207.2</v>
      </c>
      <c r="C15" s="10">
        <v>244.7</v>
      </c>
      <c r="D15" s="11">
        <v>4.15</v>
      </c>
      <c r="E15" s="12">
        <v>86.9</v>
      </c>
      <c r="F15" s="12">
        <v>96.2</v>
      </c>
      <c r="G15" s="9">
        <v>25050147</v>
      </c>
    </row>
    <row r="16" ht="16.5" spans="1:7">
      <c r="A16" s="39" t="s">
        <v>1254</v>
      </c>
      <c r="B16" s="9">
        <v>441.4</v>
      </c>
      <c r="C16" s="10">
        <v>199.6</v>
      </c>
      <c r="D16" s="11">
        <v>5.52</v>
      </c>
      <c r="E16" s="12">
        <v>73.2</v>
      </c>
      <c r="F16" s="12">
        <v>92.3</v>
      </c>
      <c r="G16" s="9">
        <v>25040229</v>
      </c>
    </row>
    <row r="17" ht="16.5" spans="1:7">
      <c r="A17" s="39" t="s">
        <v>1255</v>
      </c>
      <c r="B17" s="9">
        <v>260.4</v>
      </c>
      <c r="C17" s="10">
        <v>203.3</v>
      </c>
      <c r="D17" s="11">
        <v>5.9</v>
      </c>
      <c r="E17" s="12">
        <v>80.5</v>
      </c>
      <c r="F17" s="12">
        <v>94.5</v>
      </c>
      <c r="G17" s="9">
        <v>25050124</v>
      </c>
    </row>
    <row r="18" ht="16.5" spans="1:7">
      <c r="A18" s="39" t="s">
        <v>1256</v>
      </c>
      <c r="B18" s="9">
        <v>508</v>
      </c>
      <c r="C18" s="10">
        <v>218.4</v>
      </c>
      <c r="D18" s="11">
        <v>6.09</v>
      </c>
      <c r="E18" s="12">
        <v>78.7</v>
      </c>
      <c r="F18" s="12">
        <v>93.1</v>
      </c>
      <c r="G18" s="9">
        <v>25040521</v>
      </c>
    </row>
    <row r="19" ht="16.5" spans="1:7">
      <c r="A19" s="39" t="s">
        <v>1257</v>
      </c>
      <c r="B19" s="9">
        <v>526.4</v>
      </c>
      <c r="C19" s="10">
        <v>200</v>
      </c>
      <c r="D19" s="11">
        <v>4.61</v>
      </c>
      <c r="E19" s="12">
        <v>75.6</v>
      </c>
      <c r="F19" s="12">
        <v>93.1</v>
      </c>
      <c r="G19" s="9">
        <v>25060009</v>
      </c>
    </row>
    <row r="20" ht="16.5" spans="1:7">
      <c r="A20" s="39" t="s">
        <v>920</v>
      </c>
      <c r="B20" s="9">
        <v>340.8</v>
      </c>
      <c r="C20" s="10">
        <v>241.7</v>
      </c>
      <c r="D20" s="11">
        <v>5.19</v>
      </c>
      <c r="E20" s="12">
        <v>76.9</v>
      </c>
      <c r="F20" s="12">
        <v>92</v>
      </c>
      <c r="G20" s="9">
        <v>25010466</v>
      </c>
    </row>
    <row r="21" ht="16.5" spans="1:7">
      <c r="A21" s="39" t="s">
        <v>1258</v>
      </c>
      <c r="B21" s="9">
        <v>502.4</v>
      </c>
      <c r="C21" s="10">
        <v>194.5</v>
      </c>
      <c r="D21" s="11">
        <v>5.3</v>
      </c>
      <c r="E21" s="12">
        <v>79.5</v>
      </c>
      <c r="F21" s="12">
        <v>93.6</v>
      </c>
      <c r="G21" s="9">
        <v>25050192</v>
      </c>
    </row>
    <row r="22" ht="16.5" spans="1:7">
      <c r="A22" s="39" t="s">
        <v>1259</v>
      </c>
      <c r="B22" s="9">
        <v>837.2</v>
      </c>
      <c r="C22" s="10">
        <v>218.1</v>
      </c>
      <c r="D22" s="11">
        <v>5.35</v>
      </c>
      <c r="E22" s="12">
        <v>83.7</v>
      </c>
      <c r="F22" s="12">
        <v>96.1</v>
      </c>
      <c r="G22" s="9">
        <v>25050248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2 B3:C11 B13:C22"/>
  </dataValidations>
  <pageMargins left="0.75" right="0.75" top="1" bottom="1" header="0.5" footer="0.5"/>
  <pageSetup paperSize="9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K25" sqref="K25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607</v>
      </c>
      <c r="B1" s="2">
        <f>SUM(B3:B29)</f>
        <v>9915.8</v>
      </c>
      <c r="C1" s="3" cm="1">
        <f t="array" ref="C1">SUMPRODUCT(C3:C29*B3:B29)/B1</f>
        <v>229.506591500434</v>
      </c>
      <c r="D1" s="4" cm="1">
        <f t="array" ref="D1">SUMPRODUCT(B3:B29*D3:D29)/B1</f>
        <v>4.95834990621029</v>
      </c>
      <c r="E1" s="3" cm="1">
        <f t="array" ref="E1">SUMPRODUCT(B3:B29*E3:E29)/B1</f>
        <v>85.8760100042357</v>
      </c>
      <c r="F1" s="3" cm="1">
        <f t="array" ref="F1">SUMPRODUCT(B3:B29*F3:F29)/B1</f>
        <v>96.6311059117772</v>
      </c>
    </row>
    <row r="2" ht="16.5" spans="1:7">
      <c r="A2" s="6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23" t="s">
        <v>1260</v>
      </c>
      <c r="B3" s="14">
        <v>358.4</v>
      </c>
      <c r="C3" s="15">
        <v>230.3</v>
      </c>
      <c r="D3" s="16">
        <v>5.02</v>
      </c>
      <c r="E3" s="17">
        <v>88.2</v>
      </c>
      <c r="F3" s="17">
        <v>97.9</v>
      </c>
      <c r="G3" s="24">
        <v>25050247</v>
      </c>
    </row>
    <row r="4" ht="16.5" spans="1:7">
      <c r="A4" s="23" t="s">
        <v>1261</v>
      </c>
      <c r="B4" s="14">
        <v>831.8</v>
      </c>
      <c r="C4" s="15">
        <v>231.7</v>
      </c>
      <c r="D4" s="16">
        <v>4.69</v>
      </c>
      <c r="E4" s="17">
        <v>87.6</v>
      </c>
      <c r="F4" s="17">
        <v>97.9</v>
      </c>
      <c r="G4" s="24">
        <v>25050219</v>
      </c>
    </row>
    <row r="5" ht="16.5" spans="1:7">
      <c r="A5" s="23" t="s">
        <v>1262</v>
      </c>
      <c r="B5" s="14">
        <v>778</v>
      </c>
      <c r="C5" s="15">
        <v>204.9</v>
      </c>
      <c r="D5" s="16">
        <v>5.66</v>
      </c>
      <c r="E5" s="17">
        <v>79.4</v>
      </c>
      <c r="F5" s="17">
        <v>93.9</v>
      </c>
      <c r="G5" s="24">
        <v>25050154</v>
      </c>
    </row>
    <row r="6" ht="16.5" spans="1:7">
      <c r="A6" s="23" t="s">
        <v>1263</v>
      </c>
      <c r="B6" s="14">
        <v>478.6</v>
      </c>
      <c r="C6" s="15">
        <v>254.4</v>
      </c>
      <c r="D6" s="16">
        <v>4.57</v>
      </c>
      <c r="E6" s="17">
        <v>90.4</v>
      </c>
      <c r="F6" s="17">
        <v>98</v>
      </c>
      <c r="G6" s="24">
        <v>25030466</v>
      </c>
    </row>
    <row r="7" ht="16.5" spans="1:7">
      <c r="A7" s="23" t="s">
        <v>1264</v>
      </c>
      <c r="B7" s="14">
        <v>510.2</v>
      </c>
      <c r="C7" s="15">
        <v>248.1</v>
      </c>
      <c r="D7" s="16">
        <v>4.61</v>
      </c>
      <c r="E7" s="17">
        <v>90.8</v>
      </c>
      <c r="F7" s="17">
        <v>98.6</v>
      </c>
      <c r="G7" s="24">
        <v>25030467</v>
      </c>
    </row>
    <row r="8" ht="16.5" spans="1:7">
      <c r="A8" s="23" t="s">
        <v>1265</v>
      </c>
      <c r="B8" s="14">
        <v>830</v>
      </c>
      <c r="C8" s="15">
        <v>213.7</v>
      </c>
      <c r="D8" s="16">
        <v>5.6</v>
      </c>
      <c r="E8" s="17">
        <v>82.2</v>
      </c>
      <c r="F8" s="17">
        <v>94.6</v>
      </c>
      <c r="G8" s="24">
        <v>25050249</v>
      </c>
    </row>
    <row r="9" ht="16.5" spans="1:7">
      <c r="A9" s="23" t="s">
        <v>1266</v>
      </c>
      <c r="B9" s="14">
        <v>493</v>
      </c>
      <c r="C9" s="15">
        <v>258.9</v>
      </c>
      <c r="D9" s="16">
        <v>4.61</v>
      </c>
      <c r="E9" s="17">
        <v>90.9</v>
      </c>
      <c r="F9" s="17">
        <v>98.5</v>
      </c>
      <c r="G9" s="24">
        <v>25030465</v>
      </c>
    </row>
    <row r="10" ht="16.5" spans="1:7">
      <c r="A10" s="23" t="s">
        <v>1267</v>
      </c>
      <c r="B10" s="14">
        <v>838.6</v>
      </c>
      <c r="C10" s="15">
        <v>224.4</v>
      </c>
      <c r="D10" s="16">
        <v>5.68</v>
      </c>
      <c r="E10" s="17">
        <v>82.2</v>
      </c>
      <c r="F10" s="17">
        <v>95.4</v>
      </c>
      <c r="G10" s="24">
        <v>25050221</v>
      </c>
    </row>
    <row r="11" ht="16.5" spans="1:7">
      <c r="A11" s="23" t="s">
        <v>1268</v>
      </c>
      <c r="B11" s="14">
        <v>443.6</v>
      </c>
      <c r="C11" s="15">
        <v>257.4</v>
      </c>
      <c r="D11" s="16">
        <v>4.46</v>
      </c>
      <c r="E11" s="17">
        <v>92.1</v>
      </c>
      <c r="F11" s="17">
        <v>99.1</v>
      </c>
      <c r="G11" s="24">
        <v>25050075</v>
      </c>
    </row>
    <row r="12" ht="16.5" spans="1:7">
      <c r="A12" s="23" t="s">
        <v>1269</v>
      </c>
      <c r="B12" s="14">
        <v>812</v>
      </c>
      <c r="C12" s="15">
        <v>191.3</v>
      </c>
      <c r="D12" s="16">
        <v>4.94</v>
      </c>
      <c r="E12" s="17">
        <v>73.9</v>
      </c>
      <c r="F12" s="17">
        <v>91.6</v>
      </c>
      <c r="G12" s="24">
        <v>25050250</v>
      </c>
    </row>
    <row r="13" ht="16.5" spans="1:7">
      <c r="A13" s="23" t="s">
        <v>1270</v>
      </c>
      <c r="B13" s="14">
        <v>743.4</v>
      </c>
      <c r="C13" s="15">
        <v>246.7</v>
      </c>
      <c r="D13" s="16">
        <v>4.46</v>
      </c>
      <c r="E13" s="17">
        <v>90.3</v>
      </c>
      <c r="F13" s="17">
        <v>98.1</v>
      </c>
      <c r="G13" s="24">
        <v>25050231</v>
      </c>
    </row>
    <row r="14" ht="16.5" spans="1:7">
      <c r="A14" s="23" t="s">
        <v>1271</v>
      </c>
      <c r="B14" s="14">
        <v>742</v>
      </c>
      <c r="C14" s="15">
        <v>218.6</v>
      </c>
      <c r="D14" s="16">
        <v>5</v>
      </c>
      <c r="E14" s="17">
        <v>86</v>
      </c>
      <c r="F14" s="17">
        <v>96.6</v>
      </c>
      <c r="G14" s="24">
        <v>25050234</v>
      </c>
    </row>
    <row r="15" ht="16.5" spans="1:7">
      <c r="A15" s="23" t="s">
        <v>1272</v>
      </c>
      <c r="B15" s="14">
        <v>850.2</v>
      </c>
      <c r="C15" s="15">
        <v>229.3</v>
      </c>
      <c r="D15" s="16">
        <v>5.19</v>
      </c>
      <c r="E15" s="17">
        <v>86</v>
      </c>
      <c r="F15" s="17">
        <v>97.3</v>
      </c>
      <c r="G15" s="24">
        <v>25050220</v>
      </c>
    </row>
    <row r="16" ht="16.5" spans="1:7">
      <c r="A16" s="23" t="s">
        <v>1273</v>
      </c>
      <c r="B16" s="14">
        <v>717.4</v>
      </c>
      <c r="C16" s="15">
        <v>246.1</v>
      </c>
      <c r="D16" s="16">
        <v>4.26</v>
      </c>
      <c r="E16" s="17">
        <v>90.9</v>
      </c>
      <c r="F16" s="17">
        <v>98.7</v>
      </c>
      <c r="G16" s="24">
        <v>25050150</v>
      </c>
    </row>
    <row r="17" ht="16.5" spans="1:7">
      <c r="A17" s="23" t="s">
        <v>1274</v>
      </c>
      <c r="B17" s="14">
        <v>488.6</v>
      </c>
      <c r="C17" s="15">
        <v>231.1</v>
      </c>
      <c r="D17" s="16">
        <v>4.82</v>
      </c>
      <c r="E17" s="17">
        <v>89.2</v>
      </c>
      <c r="F17" s="17">
        <v>97.9</v>
      </c>
      <c r="G17" s="14">
        <v>25040518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7"/>
  </dataValidations>
  <pageMargins left="0.75" right="0.75" top="1" bottom="1" header="0.5" footer="0.5"/>
  <pageSetup paperSize="9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</cols>
  <sheetData>
    <row r="1" ht="16.5" spans="1:7">
      <c r="A1" s="116">
        <v>608</v>
      </c>
      <c r="B1" s="2">
        <f>SUM(B3:B30)</f>
        <v>6293.58</v>
      </c>
      <c r="C1" s="3" cm="1">
        <f t="array" ref="C1">SUMPRODUCT(C3:C30*B3:B30)/B1</f>
        <v>188.526858798967</v>
      </c>
      <c r="D1" s="4" cm="1">
        <f t="array" ref="D1">SUMPRODUCT(B3:B30*D3:D30)/B1</f>
        <v>4.12435891813562</v>
      </c>
      <c r="E1" s="3" cm="1">
        <f t="array" ref="E1">SUMPRODUCT(B3:B30*E3:E30)/B1</f>
        <v>81.6752722615745</v>
      </c>
      <c r="F1" s="3" cm="1">
        <f t="array" ref="F1">SUMPRODUCT(B3:B30*F3:F30)/B1</f>
        <v>95.0669895353678</v>
      </c>
    </row>
    <row r="2" ht="16.5" spans="1:7">
      <c r="A2" s="52">
        <v>180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</row>
    <row r="3" ht="16.5" spans="1:7">
      <c r="A3" s="19">
        <v>502</v>
      </c>
      <c r="B3" s="19">
        <v>72.94</v>
      </c>
      <c r="C3" s="1">
        <v>160.8</v>
      </c>
      <c r="D3" s="1">
        <v>3.78</v>
      </c>
      <c r="E3" s="2">
        <v>75</v>
      </c>
      <c r="F3" s="2">
        <v>93</v>
      </c>
    </row>
    <row r="4" ht="16.5" spans="1:7">
      <c r="A4" s="19">
        <v>503</v>
      </c>
      <c r="B4" s="19">
        <v>62.88</v>
      </c>
      <c r="C4" s="1">
        <v>162.3</v>
      </c>
      <c r="D4" s="1">
        <v>3.77</v>
      </c>
      <c r="E4" s="2">
        <v>77.1</v>
      </c>
      <c r="F4" s="2">
        <v>94</v>
      </c>
    </row>
    <row r="5" ht="16.5" spans="1:7">
      <c r="A5" s="19">
        <v>504</v>
      </c>
      <c r="B5" s="19">
        <v>92.76</v>
      </c>
      <c r="C5" s="1">
        <v>132.7</v>
      </c>
      <c r="D5" s="1">
        <v>3.4</v>
      </c>
      <c r="E5" s="2">
        <v>75.2</v>
      </c>
      <c r="F5" s="2">
        <v>93.4</v>
      </c>
    </row>
    <row r="6" ht="16.5" spans="1:7">
      <c r="A6" s="19">
        <v>601</v>
      </c>
      <c r="B6" s="19">
        <v>90</v>
      </c>
      <c r="C6" s="1">
        <v>176.8</v>
      </c>
      <c r="D6" s="1">
        <v>3.99</v>
      </c>
      <c r="E6" s="2">
        <v>78.3</v>
      </c>
      <c r="F6" s="2">
        <v>93.4</v>
      </c>
    </row>
    <row r="7" ht="16.5" spans="1:7">
      <c r="A7" s="19">
        <v>602</v>
      </c>
      <c r="B7" s="19">
        <v>3</v>
      </c>
      <c r="C7" s="1">
        <v>153.4</v>
      </c>
      <c r="D7" s="1">
        <v>3.79</v>
      </c>
      <c r="E7" s="2">
        <v>78.3</v>
      </c>
      <c r="F7" s="2">
        <v>94.3</v>
      </c>
    </row>
    <row r="8" ht="16.5" spans="1:7">
      <c r="A8" s="19">
        <v>603</v>
      </c>
      <c r="B8" s="19">
        <v>170.2</v>
      </c>
      <c r="C8" s="1">
        <v>180.9</v>
      </c>
      <c r="D8" s="1">
        <v>3.98</v>
      </c>
      <c r="E8" s="2">
        <v>80.1</v>
      </c>
      <c r="F8" s="2">
        <v>94.7</v>
      </c>
    </row>
    <row r="9" ht="16.5" spans="1:7">
      <c r="A9" s="39" t="s">
        <v>1275</v>
      </c>
      <c r="B9" s="9">
        <v>410.4</v>
      </c>
      <c r="C9" s="10">
        <v>276.7</v>
      </c>
      <c r="D9" s="11">
        <v>4.32</v>
      </c>
      <c r="E9" s="12">
        <v>88.9</v>
      </c>
      <c r="F9" s="12">
        <v>97.9</v>
      </c>
      <c r="G9" s="14">
        <v>25060090</v>
      </c>
    </row>
    <row r="10" ht="16.5" spans="1:7">
      <c r="A10" s="39" t="s">
        <v>1276</v>
      </c>
      <c r="B10" s="9">
        <v>699.8</v>
      </c>
      <c r="C10" s="10">
        <v>261.6</v>
      </c>
      <c r="D10" s="11">
        <v>4.86</v>
      </c>
      <c r="E10" s="12">
        <v>87.4</v>
      </c>
      <c r="F10" s="12">
        <v>97.3</v>
      </c>
      <c r="G10" s="14">
        <v>25060092</v>
      </c>
    </row>
    <row r="11" ht="16.5" spans="1:7">
      <c r="A11" s="39" t="s">
        <v>1277</v>
      </c>
      <c r="B11" s="9">
        <v>375.6</v>
      </c>
      <c r="C11" s="10">
        <v>142.7</v>
      </c>
      <c r="D11" s="11">
        <v>3.65</v>
      </c>
      <c r="E11" s="12">
        <v>55.2</v>
      </c>
      <c r="F11" s="12">
        <v>81.3</v>
      </c>
      <c r="G11" s="14">
        <v>24120475</v>
      </c>
    </row>
    <row r="12" ht="16.5" spans="1:7">
      <c r="A12" s="39" t="s">
        <v>1278</v>
      </c>
      <c r="B12" s="9">
        <v>513</v>
      </c>
      <c r="C12" s="10">
        <v>167.6</v>
      </c>
      <c r="D12" s="11">
        <v>4.43</v>
      </c>
      <c r="E12" s="12">
        <v>81.4</v>
      </c>
      <c r="F12" s="12">
        <v>95.3</v>
      </c>
      <c r="G12" s="14">
        <v>25050105</v>
      </c>
    </row>
    <row r="13" ht="16.5" spans="1:7">
      <c r="A13" s="39" t="s">
        <v>1279</v>
      </c>
      <c r="B13" s="9">
        <v>416.6</v>
      </c>
      <c r="C13" s="10">
        <v>163</v>
      </c>
      <c r="D13" s="11">
        <v>5</v>
      </c>
      <c r="E13" s="12">
        <v>72.6</v>
      </c>
      <c r="F13" s="12">
        <v>90.7</v>
      </c>
      <c r="G13" s="14">
        <v>25040525</v>
      </c>
    </row>
    <row r="14" ht="16.5" spans="1:7">
      <c r="A14" s="39" t="s">
        <v>1280</v>
      </c>
      <c r="B14" s="9">
        <v>328.2</v>
      </c>
      <c r="C14" s="10">
        <v>162.3</v>
      </c>
      <c r="D14" s="11">
        <v>4.91</v>
      </c>
      <c r="E14" s="12">
        <v>72.2</v>
      </c>
      <c r="F14" s="12">
        <v>91.1</v>
      </c>
      <c r="G14" s="14">
        <v>25040526</v>
      </c>
    </row>
    <row r="15" ht="16.5" spans="1:7">
      <c r="A15" s="39" t="s">
        <v>1281</v>
      </c>
      <c r="B15" s="9">
        <v>606.2</v>
      </c>
      <c r="C15" s="10">
        <v>121.8</v>
      </c>
      <c r="D15" s="11">
        <v>3.28</v>
      </c>
      <c r="E15" s="12">
        <v>81.8</v>
      </c>
      <c r="F15" s="12">
        <v>96.5</v>
      </c>
      <c r="G15" s="14">
        <v>25050225</v>
      </c>
    </row>
    <row r="16" ht="16.5" spans="1:7">
      <c r="A16" s="39" t="s">
        <v>1282</v>
      </c>
      <c r="B16" s="9">
        <v>351.6</v>
      </c>
      <c r="C16" s="10">
        <v>100.8</v>
      </c>
      <c r="D16" s="11">
        <v>2.64</v>
      </c>
      <c r="E16" s="12">
        <v>67.4</v>
      </c>
      <c r="F16" s="12">
        <v>89.1</v>
      </c>
      <c r="G16" s="14">
        <v>25020063</v>
      </c>
    </row>
    <row r="17" ht="16.5" spans="1:7">
      <c r="A17" s="39" t="s">
        <v>1283</v>
      </c>
      <c r="B17" s="9">
        <v>481.8</v>
      </c>
      <c r="C17" s="10">
        <v>251.1</v>
      </c>
      <c r="D17" s="11">
        <v>4.34</v>
      </c>
      <c r="E17" s="12">
        <v>92.8</v>
      </c>
      <c r="F17" s="12">
        <v>99.2</v>
      </c>
      <c r="G17" s="14">
        <v>25040295</v>
      </c>
    </row>
    <row r="18" ht="16.5" spans="1:7">
      <c r="A18" s="39" t="s">
        <v>1284</v>
      </c>
      <c r="B18" s="9">
        <v>496.8</v>
      </c>
      <c r="C18" s="10">
        <v>225.7</v>
      </c>
      <c r="D18" s="11">
        <v>4.34</v>
      </c>
      <c r="E18" s="12">
        <v>90.6</v>
      </c>
      <c r="F18" s="12">
        <v>98.7</v>
      </c>
      <c r="G18" s="14">
        <v>25050035</v>
      </c>
    </row>
    <row r="19" ht="16.5" spans="1:7">
      <c r="A19" s="23" t="s">
        <v>1285</v>
      </c>
      <c r="B19" s="14">
        <v>318.2</v>
      </c>
      <c r="C19" s="15">
        <v>185.7</v>
      </c>
      <c r="D19" s="16">
        <v>3.97</v>
      </c>
      <c r="E19" s="17">
        <v>87.8</v>
      </c>
      <c r="F19" s="17">
        <v>97.8</v>
      </c>
      <c r="G19" s="14">
        <v>25050188</v>
      </c>
    </row>
    <row r="20" ht="16.5" spans="1:7">
      <c r="A20" s="23" t="s">
        <v>1286</v>
      </c>
      <c r="B20" s="14">
        <v>803.6</v>
      </c>
      <c r="C20" s="15">
        <v>182</v>
      </c>
      <c r="D20" s="16">
        <v>3.91</v>
      </c>
      <c r="E20" s="17">
        <v>88.1</v>
      </c>
      <c r="F20" s="17">
        <v>98.3</v>
      </c>
      <c r="G20" s="14">
        <v>25050189</v>
      </c>
    </row>
  </sheetData>
  <conditionalFormatting sqref="A1:A2">
    <cfRule type="duplicateValues" dxfId="0" priority="30"/>
  </conditionalFormatting>
  <dataValidations count="1">
    <dataValidation allowBlank="1" showInputMessage="1" showErrorMessage="1" sqref="C3:C8 B9:C20"/>
  </dataValidations>
  <pageMargins left="0.75" right="0.75" top="1" bottom="1" header="0.5" footer="0.5"/>
  <pageSetup paperSize="9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609</v>
      </c>
      <c r="B1" s="2">
        <f>SUM(B3:B30)</f>
        <v>10089.4</v>
      </c>
      <c r="C1" s="3" cm="1">
        <f t="array" ref="C1">SUMPRODUCT(C3:C30*B3:B30)/B1</f>
        <v>150.360695383274</v>
      </c>
      <c r="D1" s="4" cm="1">
        <f t="array" ref="D1">SUMPRODUCT(B3:B30*D3:D30)/B1</f>
        <v>3.79048308125359</v>
      </c>
      <c r="E1" s="3" cm="1">
        <f t="array" ref="E1">SUMPRODUCT(B3:B30*E3:E30)/B1</f>
        <v>78.4691775526791</v>
      </c>
      <c r="F1" s="3" cm="1">
        <f t="array" ref="F1">SUMPRODUCT(B3:B30*F3:F30)/B1</f>
        <v>94.3012587468036</v>
      </c>
      <c r="G1" s="3" cm="1">
        <f t="array" ref="G1">SUMPRODUCT(B3:B30*G3:G30)/B1</f>
        <v>11.6324719012032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52" t="s">
        <v>19</v>
      </c>
    </row>
    <row r="3" ht="16.5" spans="1:8">
      <c r="A3" s="39" t="s">
        <v>1287</v>
      </c>
      <c r="B3" s="9">
        <v>524.8</v>
      </c>
      <c r="C3" s="10">
        <v>154.9</v>
      </c>
      <c r="D3" s="11">
        <v>3.97</v>
      </c>
      <c r="E3" s="12">
        <v>77.8</v>
      </c>
      <c r="F3" s="12">
        <v>93.9</v>
      </c>
      <c r="G3" s="11">
        <v>11.19</v>
      </c>
      <c r="H3" s="9">
        <v>25040405</v>
      </c>
    </row>
    <row r="4" ht="16.5" spans="1:8">
      <c r="A4" s="39" t="s">
        <v>1079</v>
      </c>
      <c r="B4" s="9">
        <v>498.8</v>
      </c>
      <c r="C4" s="10">
        <v>146.1</v>
      </c>
      <c r="D4" s="11">
        <v>3.67</v>
      </c>
      <c r="E4" s="12">
        <v>80.1</v>
      </c>
      <c r="F4" s="12">
        <v>95.3</v>
      </c>
      <c r="G4" s="11">
        <v>11.89</v>
      </c>
      <c r="H4" s="114">
        <v>25040210</v>
      </c>
    </row>
    <row r="5" ht="16.5" spans="1:8">
      <c r="A5" s="39" t="s">
        <v>1288</v>
      </c>
      <c r="B5" s="9">
        <v>491</v>
      </c>
      <c r="C5" s="10">
        <v>160.5</v>
      </c>
      <c r="D5" s="11">
        <v>4.32</v>
      </c>
      <c r="E5" s="12">
        <v>73.7</v>
      </c>
      <c r="F5" s="12">
        <v>92</v>
      </c>
      <c r="G5" s="11">
        <v>12.05</v>
      </c>
      <c r="H5" s="9">
        <v>25050085</v>
      </c>
    </row>
    <row r="6" ht="16.5" spans="1:8">
      <c r="A6" s="39" t="s">
        <v>1289</v>
      </c>
      <c r="B6" s="9">
        <v>511.4</v>
      </c>
      <c r="C6" s="10">
        <v>100.6</v>
      </c>
      <c r="D6" s="11">
        <v>2.7</v>
      </c>
      <c r="E6" s="12">
        <v>59.1</v>
      </c>
      <c r="F6" s="12">
        <v>83</v>
      </c>
      <c r="G6" s="11">
        <v>11.02</v>
      </c>
      <c r="H6" s="114">
        <v>25020114</v>
      </c>
    </row>
    <row r="7" ht="16.5" spans="1:8">
      <c r="A7" s="39" t="s">
        <v>1205</v>
      </c>
      <c r="B7" s="9">
        <v>490.6</v>
      </c>
      <c r="C7" s="10">
        <v>192</v>
      </c>
      <c r="D7" s="11">
        <v>5.11</v>
      </c>
      <c r="E7" s="12">
        <v>81</v>
      </c>
      <c r="F7" s="12">
        <v>95.4</v>
      </c>
      <c r="G7" s="11">
        <v>11.76</v>
      </c>
      <c r="H7" s="114">
        <v>25040061</v>
      </c>
    </row>
    <row r="8" ht="16.5" spans="1:8">
      <c r="A8" s="39" t="s">
        <v>1290</v>
      </c>
      <c r="B8" s="9">
        <v>505</v>
      </c>
      <c r="C8" s="10">
        <v>117.1</v>
      </c>
      <c r="D8" s="11">
        <v>2.93</v>
      </c>
      <c r="E8" s="12">
        <v>75.7</v>
      </c>
      <c r="F8" s="12">
        <v>93.5</v>
      </c>
      <c r="G8" s="11">
        <v>12.03</v>
      </c>
      <c r="H8" s="34">
        <v>25050227</v>
      </c>
    </row>
    <row r="9" ht="16.5" spans="1:8">
      <c r="A9" s="39" t="s">
        <v>1291</v>
      </c>
      <c r="B9" s="9">
        <v>486.4</v>
      </c>
      <c r="C9" s="10">
        <v>108.6</v>
      </c>
      <c r="D9" s="11">
        <v>2.96</v>
      </c>
      <c r="E9" s="12">
        <v>79.8</v>
      </c>
      <c r="F9" s="12">
        <v>95.6</v>
      </c>
      <c r="G9" s="11">
        <v>10.81</v>
      </c>
      <c r="H9" s="34">
        <v>25040365</v>
      </c>
    </row>
    <row r="10" ht="16.5" spans="1:8">
      <c r="A10" s="39" t="s">
        <v>1292</v>
      </c>
      <c r="B10" s="9">
        <v>688.4</v>
      </c>
      <c r="C10" s="10">
        <v>177.7</v>
      </c>
      <c r="D10" s="11">
        <v>5.05</v>
      </c>
      <c r="E10" s="12">
        <v>79.1</v>
      </c>
      <c r="F10" s="12">
        <v>94.6</v>
      </c>
      <c r="G10" s="11">
        <v>11.93</v>
      </c>
      <c r="H10" s="34">
        <v>25050223</v>
      </c>
    </row>
    <row r="11" ht="16.5" spans="1:8">
      <c r="A11" s="39" t="s">
        <v>1229</v>
      </c>
      <c r="B11" s="9">
        <v>367.2</v>
      </c>
      <c r="C11" s="10">
        <v>146.8</v>
      </c>
      <c r="D11" s="11">
        <v>3.77</v>
      </c>
      <c r="E11" s="12">
        <v>78.8</v>
      </c>
      <c r="F11" s="12">
        <v>94.8</v>
      </c>
      <c r="G11" s="11">
        <v>11.85</v>
      </c>
      <c r="H11" s="114">
        <v>25040211</v>
      </c>
    </row>
    <row r="12" ht="16.5" spans="1:8">
      <c r="A12" s="39" t="s">
        <v>1293</v>
      </c>
      <c r="B12" s="9">
        <v>504</v>
      </c>
      <c r="C12" s="10">
        <v>151.3</v>
      </c>
      <c r="D12" s="11">
        <v>4.2</v>
      </c>
      <c r="E12" s="12">
        <v>77.8</v>
      </c>
      <c r="F12" s="12">
        <v>93.8</v>
      </c>
      <c r="G12" s="11">
        <v>11.62</v>
      </c>
      <c r="H12" s="114">
        <v>25040506</v>
      </c>
    </row>
    <row r="13" ht="16.5" spans="1:8">
      <c r="A13" s="39" t="s">
        <v>1294</v>
      </c>
      <c r="B13" s="9">
        <v>508.4</v>
      </c>
      <c r="C13" s="10">
        <v>260.2</v>
      </c>
      <c r="D13" s="11">
        <v>4.06</v>
      </c>
      <c r="E13" s="12">
        <v>88.6</v>
      </c>
      <c r="F13" s="12">
        <v>97.2</v>
      </c>
      <c r="G13" s="11">
        <v>10.77</v>
      </c>
      <c r="H13" s="114">
        <v>25020078</v>
      </c>
    </row>
    <row r="14" ht="16.5" spans="1:8">
      <c r="A14" s="39" t="s">
        <v>1295</v>
      </c>
      <c r="B14" s="9">
        <v>305.2</v>
      </c>
      <c r="C14" s="10">
        <v>112.4</v>
      </c>
      <c r="D14" s="11">
        <v>2.8</v>
      </c>
      <c r="E14" s="12">
        <v>79.7</v>
      </c>
      <c r="F14" s="12">
        <v>95.4</v>
      </c>
      <c r="G14" s="11">
        <v>10.88</v>
      </c>
      <c r="H14" s="114">
        <v>25050241</v>
      </c>
    </row>
    <row r="15" ht="16.5" spans="1:8">
      <c r="A15" s="39" t="s">
        <v>1296</v>
      </c>
      <c r="B15" s="9">
        <v>763.2</v>
      </c>
      <c r="C15" s="10">
        <v>125.4</v>
      </c>
      <c r="D15" s="11">
        <v>3.21</v>
      </c>
      <c r="E15" s="12">
        <v>79.8</v>
      </c>
      <c r="F15" s="12">
        <v>95.6</v>
      </c>
      <c r="G15" s="11">
        <v>11.43</v>
      </c>
      <c r="H15" s="114">
        <v>25050237</v>
      </c>
    </row>
    <row r="16" ht="16.5" spans="1:8">
      <c r="A16" s="39" t="s">
        <v>1297</v>
      </c>
      <c r="B16" s="9">
        <v>492</v>
      </c>
      <c r="C16" s="10">
        <v>255.6</v>
      </c>
      <c r="D16" s="11">
        <v>4.89</v>
      </c>
      <c r="E16" s="12">
        <v>90.3</v>
      </c>
      <c r="F16" s="12">
        <v>97.9</v>
      </c>
      <c r="G16" s="11">
        <v>11.54</v>
      </c>
      <c r="H16" s="34">
        <v>25010460</v>
      </c>
    </row>
    <row r="17" ht="16.5" spans="1:8">
      <c r="A17" s="39" t="s">
        <v>1298</v>
      </c>
      <c r="B17" s="9">
        <v>232.4</v>
      </c>
      <c r="C17" s="10">
        <v>120.6</v>
      </c>
      <c r="D17" s="11">
        <v>3.18</v>
      </c>
      <c r="E17" s="12">
        <v>73.7</v>
      </c>
      <c r="F17" s="12">
        <v>94.3</v>
      </c>
      <c r="G17" s="11">
        <v>11.29</v>
      </c>
      <c r="H17" s="114">
        <v>25030253</v>
      </c>
    </row>
    <row r="18" ht="16.5" spans="1:8">
      <c r="A18" s="39" t="s">
        <v>1299</v>
      </c>
      <c r="B18" s="9">
        <v>517.6</v>
      </c>
      <c r="C18" s="10">
        <v>129.7</v>
      </c>
      <c r="D18" s="11">
        <v>3.46</v>
      </c>
      <c r="E18" s="12">
        <v>78.8</v>
      </c>
      <c r="F18" s="12">
        <v>95.2</v>
      </c>
      <c r="G18" s="11">
        <v>12.05</v>
      </c>
      <c r="H18" s="114">
        <v>25030460</v>
      </c>
    </row>
    <row r="19" ht="16.5" spans="1:8">
      <c r="A19" s="39" t="s">
        <v>1300</v>
      </c>
      <c r="B19" s="9">
        <v>458.4</v>
      </c>
      <c r="C19" s="10">
        <v>166.9</v>
      </c>
      <c r="D19" s="11">
        <v>4.82</v>
      </c>
      <c r="E19" s="12">
        <v>75.1</v>
      </c>
      <c r="F19" s="12">
        <v>92.3</v>
      </c>
      <c r="G19" s="11">
        <v>11.42</v>
      </c>
      <c r="H19" s="114">
        <v>25040504</v>
      </c>
    </row>
    <row r="20" ht="16.5" spans="1:8">
      <c r="A20" s="39" t="s">
        <v>1301</v>
      </c>
      <c r="B20" s="9">
        <v>370.8</v>
      </c>
      <c r="C20" s="10">
        <v>102.4</v>
      </c>
      <c r="D20" s="11">
        <v>2.77</v>
      </c>
      <c r="E20" s="12">
        <v>76.2</v>
      </c>
      <c r="F20" s="12">
        <v>93.5</v>
      </c>
      <c r="G20" s="11">
        <v>11.06</v>
      </c>
      <c r="H20" s="34">
        <v>25040366</v>
      </c>
    </row>
    <row r="21" ht="16.5" spans="1:8">
      <c r="A21" s="39" t="s">
        <v>1302</v>
      </c>
      <c r="B21" s="9">
        <v>540.4</v>
      </c>
      <c r="C21" s="10">
        <v>108.6</v>
      </c>
      <c r="D21" s="11">
        <v>3.06</v>
      </c>
      <c r="E21" s="12">
        <v>80.7</v>
      </c>
      <c r="F21" s="12">
        <v>96.7</v>
      </c>
      <c r="G21" s="11">
        <v>13.44</v>
      </c>
      <c r="H21" s="34">
        <v>25050171</v>
      </c>
    </row>
    <row r="22" ht="16.5" spans="1:8">
      <c r="A22" s="39" t="s">
        <v>1303</v>
      </c>
      <c r="B22" s="9">
        <v>332</v>
      </c>
      <c r="C22" s="10">
        <v>154.3</v>
      </c>
      <c r="D22" s="11">
        <v>4.32</v>
      </c>
      <c r="E22" s="12">
        <v>77.3</v>
      </c>
      <c r="F22" s="12">
        <v>93.7</v>
      </c>
      <c r="G22" s="11">
        <v>11.71</v>
      </c>
      <c r="H22" s="114">
        <v>25040505</v>
      </c>
    </row>
    <row r="23" ht="16.5" spans="1:8">
      <c r="A23" s="39" t="s">
        <v>1304</v>
      </c>
      <c r="B23" s="9">
        <v>501.4</v>
      </c>
      <c r="C23" s="10">
        <v>132.4</v>
      </c>
      <c r="D23" s="11">
        <v>3.58</v>
      </c>
      <c r="E23" s="12">
        <v>80.9</v>
      </c>
      <c r="F23" s="12">
        <v>95.9</v>
      </c>
      <c r="G23" s="11">
        <v>11.85</v>
      </c>
      <c r="H23" s="34">
        <v>25050107</v>
      </c>
    </row>
  </sheetData>
  <conditionalFormatting sqref="A4">
    <cfRule type="duplicateValues" dxfId="0" priority="8"/>
  </conditionalFormatting>
  <conditionalFormatting sqref="A13">
    <cfRule type="duplicateValues" dxfId="0" priority="6"/>
  </conditionalFormatting>
  <conditionalFormatting sqref="A16">
    <cfRule type="duplicateValues" dxfId="0" priority="2"/>
  </conditionalFormatting>
  <conditionalFormatting sqref="A1:A2">
    <cfRule type="duplicateValues" dxfId="0" priority="12"/>
  </conditionalFormatting>
  <conditionalFormatting sqref="A6:A7">
    <cfRule type="duplicateValues" dxfId="0" priority="9"/>
  </conditionalFormatting>
  <conditionalFormatting sqref="A11:A12">
    <cfRule type="duplicateValues" dxfId="0" priority="7"/>
  </conditionalFormatting>
  <conditionalFormatting sqref="A14:A15">
    <cfRule type="duplicateValues" dxfId="0" priority="5"/>
  </conditionalFormatting>
  <conditionalFormatting sqref="A17:A18">
    <cfRule type="duplicateValues" dxfId="0" priority="1"/>
  </conditionalFormatting>
  <conditionalFormatting sqref="A19 A22">
    <cfRule type="duplicateValues" dxfId="0" priority="11"/>
  </conditionalFormatting>
  <dataValidations count="1">
    <dataValidation allowBlank="1" showInputMessage="1" showErrorMessage="1" sqref="B3:C3 B21 B23 B4:B8 B10:B11 B13:B18 C4:C23"/>
  </dataValidations>
  <pageMargins left="0.75" right="0.75" top="1" bottom="1" header="0.5" footer="0.5"/>
  <pageSetup paperSize="9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L22" sqref="L22"/>
    </sheetView>
  </sheetViews>
  <sheetFormatPr defaultColWidth="9" defaultRowHeight="13.5"/>
  <cols>
    <col min="1" max="1" width="15.625" customWidth="1"/>
    <col min="8" max="8" width="9.375"/>
    <col min="10" max="10" width="15.625" customWidth="1"/>
    <col min="12" max="12" width="9.375"/>
    <col min="17" max="17" width="9.375"/>
  </cols>
  <sheetData>
    <row r="1" ht="16.5" spans="1:12">
      <c r="A1" s="116">
        <v>610</v>
      </c>
      <c r="B1" s="2">
        <f>SUM(B3:B30)</f>
        <v>10129.6</v>
      </c>
      <c r="C1" s="3" cm="1">
        <f t="array" ref="C1">SUMPRODUCT(C3:C30*B3:B30)/B1</f>
        <v>151.311384457432</v>
      </c>
      <c r="D1" s="4" cm="1">
        <f t="array" ref="D1">SUMPRODUCT(B3:B30*D3:D30)/B1</f>
        <v>3.77376836202812</v>
      </c>
      <c r="E1" s="3" cm="1">
        <f t="array" ref="E1">SUMPRODUCT(B3:B30*E3:E30)/B1</f>
        <v>78.6348503395988</v>
      </c>
      <c r="F1" s="3" cm="1">
        <f t="array" ref="F1">SUMPRODUCT(B3:B30*F3:F30)/B1</f>
        <v>94.5450343547623</v>
      </c>
      <c r="G1" s="3" cm="1">
        <f t="array" ref="G1">SUMPRODUCT(B3:B30*G3:G30)/B1</f>
        <v>11.6783592639394</v>
      </c>
      <c r="H1" s="60"/>
      <c r="J1" s="152"/>
      <c r="K1" s="152"/>
      <c r="L1" s="152"/>
    </row>
    <row r="2" ht="16.5" spans="1:12">
      <c r="A2" s="52">
        <v>140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52" t="s">
        <v>19</v>
      </c>
      <c r="H2" s="60"/>
      <c r="J2" s="153"/>
      <c r="K2" s="154"/>
      <c r="L2" s="154"/>
    </row>
    <row r="3" ht="16.5" spans="1:12">
      <c r="A3" s="39" t="s">
        <v>1305</v>
      </c>
      <c r="B3" s="9">
        <v>305.2</v>
      </c>
      <c r="C3" s="10">
        <v>129.1</v>
      </c>
      <c r="D3" s="11">
        <v>3.28</v>
      </c>
      <c r="E3" s="12">
        <v>74.2</v>
      </c>
      <c r="F3" s="12">
        <v>94.2</v>
      </c>
      <c r="G3" s="11">
        <v>11.2</v>
      </c>
      <c r="H3" s="34">
        <v>25030252</v>
      </c>
      <c r="J3" s="153"/>
      <c r="K3" s="154"/>
      <c r="L3" s="154"/>
    </row>
    <row r="4" ht="16.5" spans="1:12">
      <c r="A4" s="39" t="s">
        <v>1306</v>
      </c>
      <c r="B4" s="9">
        <v>314</v>
      </c>
      <c r="C4" s="10">
        <v>127.9</v>
      </c>
      <c r="D4" s="11">
        <v>3.46</v>
      </c>
      <c r="E4" s="12">
        <v>81</v>
      </c>
      <c r="F4" s="12">
        <v>97.3</v>
      </c>
      <c r="G4" s="11">
        <v>11.86</v>
      </c>
      <c r="H4" s="34">
        <v>25030345</v>
      </c>
      <c r="J4" s="152"/>
      <c r="K4" s="152"/>
      <c r="L4" s="152"/>
    </row>
    <row r="5" ht="16.5" spans="1:12">
      <c r="A5" s="39" t="s">
        <v>1307</v>
      </c>
      <c r="B5" s="9">
        <v>461.4</v>
      </c>
      <c r="C5" s="10">
        <v>185.9</v>
      </c>
      <c r="D5" s="11">
        <v>5.11</v>
      </c>
      <c r="E5" s="12">
        <v>74.7</v>
      </c>
      <c r="F5" s="12">
        <v>91.9</v>
      </c>
      <c r="G5" s="11">
        <v>11.89</v>
      </c>
      <c r="H5" s="34">
        <v>25040404</v>
      </c>
      <c r="J5" s="152"/>
      <c r="K5" s="152"/>
      <c r="L5" s="152"/>
    </row>
    <row r="6" ht="16.5" spans="1:12">
      <c r="A6" s="39" t="s">
        <v>1183</v>
      </c>
      <c r="B6" s="9">
        <v>271.6</v>
      </c>
      <c r="C6" s="10">
        <v>174.9</v>
      </c>
      <c r="D6" s="11">
        <v>4.94</v>
      </c>
      <c r="E6" s="12">
        <v>79.5</v>
      </c>
      <c r="F6" s="12">
        <v>94.9</v>
      </c>
      <c r="G6" s="11">
        <v>11.16</v>
      </c>
      <c r="H6" s="34">
        <v>25040543</v>
      </c>
    </row>
    <row r="7" ht="16.5" spans="1:12">
      <c r="A7" s="41" t="s">
        <v>1308</v>
      </c>
      <c r="B7" s="34">
        <v>517</v>
      </c>
      <c r="C7" s="35">
        <v>261.9</v>
      </c>
      <c r="D7" s="36">
        <v>3.73</v>
      </c>
      <c r="E7" s="37">
        <v>90.9</v>
      </c>
      <c r="F7" s="37">
        <v>98</v>
      </c>
      <c r="G7" s="36">
        <v>11.89</v>
      </c>
      <c r="H7" s="34">
        <v>25020073</v>
      </c>
    </row>
    <row r="8" ht="16.5" spans="1:12">
      <c r="A8" s="39" t="s">
        <v>1309</v>
      </c>
      <c r="B8" s="9">
        <v>455.4</v>
      </c>
      <c r="C8" s="10">
        <v>113</v>
      </c>
      <c r="D8" s="11">
        <v>2.8</v>
      </c>
      <c r="E8" s="12">
        <v>64.6</v>
      </c>
      <c r="F8" s="12">
        <v>88.6</v>
      </c>
      <c r="G8" s="11">
        <v>12.43</v>
      </c>
      <c r="H8" s="34">
        <v>24120298</v>
      </c>
    </row>
    <row r="9" ht="16.5" spans="1:12">
      <c r="A9" s="39" t="s">
        <v>1310</v>
      </c>
      <c r="B9" s="9">
        <v>471.2</v>
      </c>
      <c r="C9" s="10">
        <v>121.3</v>
      </c>
      <c r="D9" s="11">
        <v>3.46</v>
      </c>
      <c r="E9" s="12">
        <v>74.8</v>
      </c>
      <c r="F9" s="12">
        <v>93.9</v>
      </c>
      <c r="G9" s="11">
        <v>10.53</v>
      </c>
      <c r="H9" s="34">
        <v>25050089</v>
      </c>
    </row>
    <row r="10" ht="16.5" spans="1:12">
      <c r="A10" s="39" t="s">
        <v>1311</v>
      </c>
      <c r="B10" s="9">
        <v>476.6</v>
      </c>
      <c r="C10" s="10">
        <v>207.9</v>
      </c>
      <c r="D10" s="11">
        <v>6.26</v>
      </c>
      <c r="E10" s="12">
        <v>78.2</v>
      </c>
      <c r="F10" s="12">
        <v>92.8</v>
      </c>
      <c r="G10" s="11">
        <v>11.71</v>
      </c>
      <c r="H10" s="9">
        <v>25040522</v>
      </c>
    </row>
    <row r="11" ht="16.5" spans="1:12">
      <c r="A11" s="39" t="s">
        <v>1312</v>
      </c>
      <c r="B11" s="9">
        <v>348.4</v>
      </c>
      <c r="C11" s="10">
        <v>118.5</v>
      </c>
      <c r="D11" s="11">
        <v>3.34</v>
      </c>
      <c r="E11" s="12">
        <v>74.9</v>
      </c>
      <c r="F11" s="12">
        <v>94</v>
      </c>
      <c r="G11" s="11">
        <v>11.31</v>
      </c>
      <c r="H11" s="34">
        <v>25050090</v>
      </c>
    </row>
    <row r="12" ht="16.5" spans="1:12">
      <c r="A12" s="39" t="s">
        <v>1313</v>
      </c>
      <c r="B12" s="9">
        <v>332.2</v>
      </c>
      <c r="C12" s="10">
        <v>198.8</v>
      </c>
      <c r="D12" s="11">
        <v>6.24</v>
      </c>
      <c r="E12" s="12">
        <v>70.3</v>
      </c>
      <c r="F12" s="12">
        <v>89.8</v>
      </c>
      <c r="G12" s="11">
        <v>11.15</v>
      </c>
      <c r="H12" s="34">
        <v>25040503</v>
      </c>
    </row>
    <row r="13" ht="16.5" spans="1:12">
      <c r="A13" s="39" t="s">
        <v>921</v>
      </c>
      <c r="B13" s="9">
        <v>506.8</v>
      </c>
      <c r="C13" s="10">
        <v>260.4</v>
      </c>
      <c r="D13" s="11">
        <v>3.91</v>
      </c>
      <c r="E13" s="12">
        <v>90</v>
      </c>
      <c r="F13" s="12">
        <v>97.6</v>
      </c>
      <c r="G13" s="11">
        <v>11.75</v>
      </c>
      <c r="H13" s="34">
        <v>25020076</v>
      </c>
    </row>
    <row r="14" ht="16.5" spans="1:12">
      <c r="A14" s="39" t="s">
        <v>1314</v>
      </c>
      <c r="B14" s="9">
        <v>548.2</v>
      </c>
      <c r="C14" s="10">
        <v>118.2</v>
      </c>
      <c r="D14" s="11">
        <v>3.15</v>
      </c>
      <c r="E14" s="12">
        <v>78.8</v>
      </c>
      <c r="F14" s="12">
        <v>95.9</v>
      </c>
      <c r="G14" s="11">
        <v>11.79</v>
      </c>
      <c r="H14" s="34">
        <v>25030364</v>
      </c>
    </row>
    <row r="15" ht="16.5" spans="1:12">
      <c r="A15" s="39" t="s">
        <v>1315</v>
      </c>
      <c r="B15" s="9">
        <v>359.6</v>
      </c>
      <c r="C15" s="10">
        <v>202</v>
      </c>
      <c r="D15" s="11">
        <v>6.43</v>
      </c>
      <c r="E15" s="12">
        <v>75.6</v>
      </c>
      <c r="F15" s="12">
        <v>91.1</v>
      </c>
      <c r="G15" s="11">
        <v>11.4</v>
      </c>
      <c r="H15" s="9">
        <v>25040523</v>
      </c>
    </row>
    <row r="16" ht="16.5" spans="1:12">
      <c r="A16" s="39" t="s">
        <v>1316</v>
      </c>
      <c r="B16" s="9">
        <v>458.2</v>
      </c>
      <c r="C16" s="10">
        <v>125.5</v>
      </c>
      <c r="D16" s="11">
        <v>3.12</v>
      </c>
      <c r="E16" s="12">
        <v>78.8</v>
      </c>
      <c r="F16" s="12">
        <v>94.8</v>
      </c>
      <c r="G16" s="11">
        <v>12.03</v>
      </c>
      <c r="H16" s="34">
        <v>25040010</v>
      </c>
    </row>
    <row r="17" ht="16.5" spans="1:8">
      <c r="A17" s="39" t="s">
        <v>1317</v>
      </c>
      <c r="B17" s="9">
        <v>363</v>
      </c>
      <c r="C17" s="10">
        <v>218.7</v>
      </c>
      <c r="D17" s="11">
        <v>4.61</v>
      </c>
      <c r="E17" s="12">
        <v>87.9</v>
      </c>
      <c r="F17" s="12">
        <v>97.8</v>
      </c>
      <c r="G17" s="11">
        <v>12.16</v>
      </c>
      <c r="H17" s="34">
        <v>25040262</v>
      </c>
    </row>
    <row r="18" ht="16.5" spans="1:8">
      <c r="A18" s="39" t="s">
        <v>1318</v>
      </c>
      <c r="B18" s="9">
        <v>883.4</v>
      </c>
      <c r="C18" s="10">
        <v>104.6</v>
      </c>
      <c r="D18" s="11">
        <v>2.9</v>
      </c>
      <c r="E18" s="12">
        <v>81.2</v>
      </c>
      <c r="F18" s="12">
        <v>96.2</v>
      </c>
      <c r="G18" s="11">
        <v>11.84</v>
      </c>
      <c r="H18" s="34">
        <v>25050182</v>
      </c>
    </row>
    <row r="19" ht="16.5" spans="1:8">
      <c r="A19" s="39" t="s">
        <v>1319</v>
      </c>
      <c r="B19" s="9">
        <v>482.4</v>
      </c>
      <c r="C19" s="10">
        <v>127.7</v>
      </c>
      <c r="D19" s="11">
        <v>3.18</v>
      </c>
      <c r="E19" s="12">
        <v>79.5</v>
      </c>
      <c r="F19" s="12">
        <v>95.4</v>
      </c>
      <c r="G19" s="11">
        <v>10.84</v>
      </c>
      <c r="H19" s="34">
        <v>25050023</v>
      </c>
    </row>
    <row r="20" ht="16.5" spans="1:8">
      <c r="A20" s="39" t="s">
        <v>1320</v>
      </c>
      <c r="B20" s="9">
        <v>479.8</v>
      </c>
      <c r="C20" s="10">
        <v>113.9</v>
      </c>
      <c r="D20" s="11">
        <v>2.9</v>
      </c>
      <c r="E20" s="12">
        <v>75.7</v>
      </c>
      <c r="F20" s="12">
        <v>93.3</v>
      </c>
      <c r="G20" s="11">
        <v>11.95</v>
      </c>
      <c r="H20" s="34">
        <v>25060121</v>
      </c>
    </row>
    <row r="21" ht="16.5" spans="1:8">
      <c r="A21" s="39" t="s">
        <v>1321</v>
      </c>
      <c r="B21" s="9">
        <v>423.6</v>
      </c>
      <c r="C21" s="10">
        <v>115.1</v>
      </c>
      <c r="D21" s="11">
        <v>2.9</v>
      </c>
      <c r="E21" s="12">
        <v>75.8</v>
      </c>
      <c r="F21" s="12">
        <v>93.3</v>
      </c>
      <c r="G21" s="11">
        <v>11.69</v>
      </c>
      <c r="H21" s="34">
        <v>25060122</v>
      </c>
    </row>
    <row r="22" ht="16.5" spans="1:8">
      <c r="A22" s="39" t="s">
        <v>1322</v>
      </c>
      <c r="B22" s="9">
        <v>524</v>
      </c>
      <c r="C22" s="10">
        <v>107.1</v>
      </c>
      <c r="D22" s="11">
        <v>2.73</v>
      </c>
      <c r="E22" s="12">
        <v>78.5</v>
      </c>
      <c r="F22" s="12">
        <v>95.7</v>
      </c>
      <c r="G22" s="11">
        <v>11.7</v>
      </c>
      <c r="H22" s="9">
        <v>25040235</v>
      </c>
    </row>
    <row r="23" ht="16.5" spans="1:8">
      <c r="A23" s="39" t="s">
        <v>1323</v>
      </c>
      <c r="B23" s="9">
        <v>456.4</v>
      </c>
      <c r="C23" s="10">
        <v>177.9</v>
      </c>
      <c r="D23" s="11">
        <v>5.02</v>
      </c>
      <c r="E23" s="12">
        <v>77.9</v>
      </c>
      <c r="F23" s="12">
        <v>93.7</v>
      </c>
      <c r="G23" s="11">
        <v>11.74</v>
      </c>
      <c r="H23" s="9">
        <v>25060114</v>
      </c>
    </row>
    <row r="24" ht="16.5" spans="1:8">
      <c r="A24" s="39" t="s">
        <v>1324</v>
      </c>
      <c r="B24" s="9">
        <v>691.2</v>
      </c>
      <c r="C24" s="10">
        <v>99</v>
      </c>
      <c r="D24" s="11">
        <v>2.64</v>
      </c>
      <c r="E24" s="12">
        <v>79.3</v>
      </c>
      <c r="F24" s="12">
        <v>95.8</v>
      </c>
      <c r="G24" s="11">
        <v>12.06</v>
      </c>
      <c r="H24" s="9">
        <v>25050240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2 K2:K3 B3:C11 B13:C24"/>
  </dataValidations>
  <pageMargins left="0.75" right="0.75" top="1" bottom="1" header="0.5" footer="0.5"/>
  <pageSetup paperSize="9" orientation="portrait"/>
  <headerFooter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G31" sqref="G31:H31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611</v>
      </c>
      <c r="B1" s="2">
        <f>SUM(B3:B30)</f>
        <v>9785.4</v>
      </c>
      <c r="C1" s="3" cm="1">
        <f t="array" ref="C1">SUMPRODUCT(C3:C30*B3:B30)/B1</f>
        <v>150.819349234574</v>
      </c>
      <c r="D1" s="4" cm="1">
        <f t="array" ref="D1">SUMPRODUCT(B3:B30*D3:D30)/B1</f>
        <v>3.7748860547346</v>
      </c>
      <c r="E1" s="3" cm="1">
        <f t="array" ref="E1">SUMPRODUCT(B3:B30*E3:E30)/B1</f>
        <v>78.5597849857952</v>
      </c>
      <c r="F1" s="3" cm="1">
        <f t="array" ref="F1">SUMPRODUCT(B3:B30*F3:F30)/B1</f>
        <v>94.3911684754839</v>
      </c>
      <c r="G1" s="3" cm="1">
        <f t="array" ref="G1">SUMPRODUCT(B3:B30*G3:G30)/B1</f>
        <v>11.4478772456926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1325</v>
      </c>
      <c r="B3" s="9">
        <v>769.6</v>
      </c>
      <c r="C3" s="10">
        <v>141.2</v>
      </c>
      <c r="D3" s="11">
        <v>3.85</v>
      </c>
      <c r="E3" s="12">
        <v>73.9</v>
      </c>
      <c r="F3" s="12">
        <v>92.4</v>
      </c>
      <c r="G3" s="11">
        <v>12.28</v>
      </c>
      <c r="H3" s="34">
        <v>25050157</v>
      </c>
    </row>
    <row r="4" ht="16.5" spans="1:8">
      <c r="A4" s="39" t="s">
        <v>1326</v>
      </c>
      <c r="B4" s="9">
        <v>205.6</v>
      </c>
      <c r="C4" s="10">
        <v>143.3</v>
      </c>
      <c r="D4" s="11">
        <v>3.77</v>
      </c>
      <c r="E4" s="12">
        <v>75.2</v>
      </c>
      <c r="F4" s="12">
        <v>92.8</v>
      </c>
      <c r="G4" s="11">
        <v>12.16</v>
      </c>
      <c r="H4" s="34">
        <v>25050128</v>
      </c>
    </row>
    <row r="5" ht="16.5" spans="1:8">
      <c r="A5" s="39" t="s">
        <v>1327</v>
      </c>
      <c r="B5" s="9">
        <v>513.8</v>
      </c>
      <c r="C5" s="10">
        <v>146</v>
      </c>
      <c r="D5" s="11">
        <v>3.73</v>
      </c>
      <c r="E5" s="12">
        <v>79.9</v>
      </c>
      <c r="F5" s="12">
        <v>95.2</v>
      </c>
      <c r="G5" s="11">
        <v>12.11</v>
      </c>
      <c r="H5" s="34">
        <v>25050043</v>
      </c>
    </row>
    <row r="6" ht="16.5" spans="1:8">
      <c r="A6" s="39" t="s">
        <v>1328</v>
      </c>
      <c r="B6" s="9">
        <v>527.2</v>
      </c>
      <c r="C6" s="10">
        <v>145.1</v>
      </c>
      <c r="D6" s="11">
        <v>3.58</v>
      </c>
      <c r="E6" s="12">
        <v>75.6</v>
      </c>
      <c r="F6" s="12">
        <v>93.1</v>
      </c>
      <c r="G6" s="11">
        <v>10.83</v>
      </c>
      <c r="H6" s="34">
        <v>25050129</v>
      </c>
    </row>
    <row r="7" ht="16.5" spans="1:8">
      <c r="A7" s="39" t="s">
        <v>1329</v>
      </c>
      <c r="B7" s="9">
        <v>692.8</v>
      </c>
      <c r="C7" s="10">
        <v>132.4</v>
      </c>
      <c r="D7" s="11">
        <v>3.53</v>
      </c>
      <c r="E7" s="12">
        <v>81.8</v>
      </c>
      <c r="F7" s="12">
        <v>96</v>
      </c>
      <c r="G7" s="11">
        <v>12.38</v>
      </c>
      <c r="H7" s="34">
        <v>25050252</v>
      </c>
    </row>
    <row r="8" ht="16.5" spans="1:8">
      <c r="A8" s="39" t="s">
        <v>1330</v>
      </c>
      <c r="B8" s="9">
        <v>852.8</v>
      </c>
      <c r="C8" s="10">
        <v>122.8</v>
      </c>
      <c r="D8" s="11">
        <v>3.37</v>
      </c>
      <c r="E8" s="12">
        <v>81.9</v>
      </c>
      <c r="F8" s="12">
        <v>96.4</v>
      </c>
      <c r="G8" s="11">
        <v>11.7</v>
      </c>
      <c r="H8" s="34">
        <v>25050181</v>
      </c>
    </row>
    <row r="9" ht="16.5" spans="1:8">
      <c r="A9" s="39" t="s">
        <v>1331</v>
      </c>
      <c r="B9" s="9">
        <v>507.2</v>
      </c>
      <c r="C9" s="10">
        <v>187.7</v>
      </c>
      <c r="D9" s="11">
        <v>4.8</v>
      </c>
      <c r="E9" s="12">
        <v>72.8</v>
      </c>
      <c r="F9" s="12">
        <v>90.9</v>
      </c>
      <c r="G9" s="11">
        <v>11.34</v>
      </c>
      <c r="H9" s="34">
        <v>25050021</v>
      </c>
    </row>
    <row r="10" ht="16.5" spans="1:8">
      <c r="A10" s="39" t="s">
        <v>1332</v>
      </c>
      <c r="B10" s="9">
        <v>489.2</v>
      </c>
      <c r="C10" s="10">
        <v>135.1</v>
      </c>
      <c r="D10" s="11">
        <v>3.43</v>
      </c>
      <c r="E10" s="12">
        <v>79.6</v>
      </c>
      <c r="F10" s="12">
        <v>95.4</v>
      </c>
      <c r="G10" s="11">
        <v>11.7</v>
      </c>
      <c r="H10" s="34">
        <v>25060100</v>
      </c>
    </row>
    <row r="11" ht="16.5" spans="1:8">
      <c r="A11" s="39" t="s">
        <v>1333</v>
      </c>
      <c r="B11" s="9">
        <v>477.2</v>
      </c>
      <c r="C11" s="10">
        <v>135.3</v>
      </c>
      <c r="D11" s="11">
        <v>3.43</v>
      </c>
      <c r="E11" s="12">
        <v>78.8</v>
      </c>
      <c r="F11" s="12">
        <v>94.7</v>
      </c>
      <c r="G11" s="11">
        <v>11.77</v>
      </c>
      <c r="H11" s="34">
        <v>25060101</v>
      </c>
    </row>
    <row r="12" ht="16.5" spans="1:8">
      <c r="A12" s="39" t="s">
        <v>1334</v>
      </c>
      <c r="B12" s="9">
        <v>231.4</v>
      </c>
      <c r="C12" s="10">
        <v>164.8</v>
      </c>
      <c r="D12" s="11">
        <v>4.29</v>
      </c>
      <c r="E12" s="12">
        <v>74.1</v>
      </c>
      <c r="F12" s="12">
        <v>92.2</v>
      </c>
      <c r="G12" s="11">
        <v>12.18</v>
      </c>
      <c r="H12" s="34">
        <v>25050084</v>
      </c>
    </row>
    <row r="13" ht="16.5" spans="1:8">
      <c r="A13" s="39" t="s">
        <v>1335</v>
      </c>
      <c r="B13" s="9">
        <v>525.2</v>
      </c>
      <c r="C13" s="10">
        <v>114.9</v>
      </c>
      <c r="D13" s="11">
        <v>3.06</v>
      </c>
      <c r="E13" s="12">
        <v>68.6</v>
      </c>
      <c r="F13" s="12">
        <v>89.3</v>
      </c>
      <c r="G13" s="11">
        <v>11.09</v>
      </c>
      <c r="H13" s="34">
        <v>25010338</v>
      </c>
    </row>
    <row r="14" ht="16.5" spans="1:8">
      <c r="A14" s="39" t="s">
        <v>1336</v>
      </c>
      <c r="B14" s="9">
        <v>224.2</v>
      </c>
      <c r="C14" s="10">
        <v>273.7</v>
      </c>
      <c r="D14" s="11">
        <v>4.52</v>
      </c>
      <c r="E14" s="12">
        <v>90.8</v>
      </c>
      <c r="F14" s="12">
        <v>98</v>
      </c>
      <c r="G14" s="11">
        <v>11.47</v>
      </c>
      <c r="H14" s="34">
        <v>25010454</v>
      </c>
    </row>
    <row r="15" ht="16.5" spans="1:8">
      <c r="A15" s="39" t="s">
        <v>1337</v>
      </c>
      <c r="B15" s="9">
        <v>448.2</v>
      </c>
      <c r="C15" s="10">
        <v>135.2</v>
      </c>
      <c r="D15" s="11">
        <v>3.4</v>
      </c>
      <c r="E15" s="12">
        <v>79.5</v>
      </c>
      <c r="F15" s="12">
        <v>95.4</v>
      </c>
      <c r="G15" s="11">
        <v>10.99</v>
      </c>
      <c r="H15" s="34">
        <v>25060102</v>
      </c>
    </row>
    <row r="16" ht="16.5" spans="1:8">
      <c r="A16" s="39" t="s">
        <v>1338</v>
      </c>
      <c r="B16" s="9">
        <v>503.6</v>
      </c>
      <c r="C16" s="10">
        <v>129.4</v>
      </c>
      <c r="D16" s="11">
        <v>3.21</v>
      </c>
      <c r="E16" s="12">
        <v>79.6</v>
      </c>
      <c r="F16" s="12">
        <v>95.8</v>
      </c>
      <c r="G16" s="11">
        <v>10.82</v>
      </c>
      <c r="H16" s="34">
        <v>25060103</v>
      </c>
    </row>
    <row r="17" ht="16.5" spans="1:8">
      <c r="A17" s="39" t="s">
        <v>1339</v>
      </c>
      <c r="B17" s="9">
        <v>833.2</v>
      </c>
      <c r="C17" s="10">
        <v>220.2</v>
      </c>
      <c r="D17" s="11">
        <v>4.69</v>
      </c>
      <c r="E17" s="12">
        <v>83.2</v>
      </c>
      <c r="F17" s="12">
        <v>95.1</v>
      </c>
      <c r="G17" s="11">
        <v>10.19</v>
      </c>
      <c r="H17" s="34">
        <v>25050178</v>
      </c>
    </row>
    <row r="18" ht="16.5" spans="1:8">
      <c r="A18" s="39" t="s">
        <v>1340</v>
      </c>
      <c r="B18" s="9">
        <v>420</v>
      </c>
      <c r="C18" s="10">
        <v>129.8</v>
      </c>
      <c r="D18" s="11">
        <v>3.24</v>
      </c>
      <c r="E18" s="12">
        <v>78.9</v>
      </c>
      <c r="F18" s="12">
        <v>95.1</v>
      </c>
      <c r="G18" s="11">
        <v>10.73</v>
      </c>
      <c r="H18" s="34">
        <v>25060104</v>
      </c>
    </row>
    <row r="19" ht="16.5" spans="1:8">
      <c r="A19" s="39" t="s">
        <v>1341</v>
      </c>
      <c r="B19" s="9">
        <v>486</v>
      </c>
      <c r="C19" s="10">
        <v>174.4</v>
      </c>
      <c r="D19" s="11">
        <v>4.63</v>
      </c>
      <c r="E19" s="12">
        <v>78.6</v>
      </c>
      <c r="F19" s="12">
        <v>94.7</v>
      </c>
      <c r="G19" s="11">
        <v>11.37</v>
      </c>
      <c r="H19" s="34">
        <v>25040062</v>
      </c>
    </row>
    <row r="20" ht="16.5" spans="1:8">
      <c r="A20" s="39" t="s">
        <v>1342</v>
      </c>
      <c r="B20" s="9">
        <v>276.2</v>
      </c>
      <c r="C20" s="10">
        <v>174</v>
      </c>
      <c r="D20" s="11">
        <v>4.55</v>
      </c>
      <c r="E20" s="12">
        <v>78.5</v>
      </c>
      <c r="F20" s="12">
        <v>94.5</v>
      </c>
      <c r="G20" s="11">
        <v>11.26</v>
      </c>
      <c r="H20" s="34">
        <v>25040063</v>
      </c>
    </row>
    <row r="21" ht="16.5" spans="1:8">
      <c r="A21" s="39" t="s">
        <v>1343</v>
      </c>
      <c r="B21" s="9">
        <v>802</v>
      </c>
      <c r="C21" s="10">
        <v>134</v>
      </c>
      <c r="D21" s="11">
        <v>3.49</v>
      </c>
      <c r="E21" s="12">
        <v>79.7</v>
      </c>
      <c r="F21" s="12">
        <v>95.1</v>
      </c>
      <c r="G21" s="11">
        <v>11.56</v>
      </c>
      <c r="H21" s="34">
        <v>25060099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3 B3:C12 B14:C21"/>
  </dataValidations>
  <pageMargins left="0.75" right="0.75" top="1" bottom="1" header="0.5" footer="0.5"/>
  <pageSetup paperSize="9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I31" sqref="I31"/>
    </sheetView>
  </sheetViews>
  <sheetFormatPr defaultColWidth="9" defaultRowHeight="13.5" outlineLevelCol="6"/>
  <cols>
    <col min="1" max="1" width="15.625" customWidth="1"/>
    <col min="3" max="3" width="9.375"/>
    <col min="7" max="7" width="9.375"/>
  </cols>
  <sheetData>
    <row r="1" ht="16.5" spans="1:7">
      <c r="A1" s="116">
        <v>612</v>
      </c>
      <c r="B1" s="2">
        <f>SUM(B3:B30)</f>
        <v>10036.6</v>
      </c>
      <c r="C1" s="3" cm="1">
        <f t="array" ref="C1">SUMPRODUCT(C3:C30*B3:B30)/B1</f>
        <v>209.632690353307</v>
      </c>
      <c r="D1" s="4" cm="1">
        <f t="array" ref="D1">SUMPRODUCT(B3:B30*D3:D30)/B1</f>
        <v>4.9581756770221</v>
      </c>
      <c r="E1" s="3" cm="1">
        <f t="array" ref="E1">SUMPRODUCT(B3:B30*E3:E30)/B1</f>
        <v>83.4941434350278</v>
      </c>
      <c r="F1" s="3" cm="1">
        <f t="array" ref="F1">SUMPRODUCT(B3:B30*F3:F30)/B1</f>
        <v>95.7130382798956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334</v>
      </c>
      <c r="B3" s="9">
        <v>540</v>
      </c>
      <c r="C3" s="10">
        <v>201.2</v>
      </c>
      <c r="D3" s="11">
        <v>5</v>
      </c>
      <c r="E3" s="12">
        <v>85</v>
      </c>
      <c r="F3" s="12">
        <v>97</v>
      </c>
      <c r="G3" s="9">
        <v>25020018</v>
      </c>
    </row>
    <row r="4" ht="16.5" spans="1:7">
      <c r="A4" s="39" t="s">
        <v>889</v>
      </c>
      <c r="B4" s="9">
        <v>558.2</v>
      </c>
      <c r="C4" s="10">
        <v>216.9</v>
      </c>
      <c r="D4" s="11">
        <v>5.2</v>
      </c>
      <c r="E4" s="12">
        <v>78.3</v>
      </c>
      <c r="F4" s="12">
        <v>94.2</v>
      </c>
      <c r="G4" s="9">
        <v>25030266</v>
      </c>
    </row>
    <row r="5" ht="16.5" spans="1:7">
      <c r="A5" s="39" t="s">
        <v>1051</v>
      </c>
      <c r="B5" s="9">
        <v>487.2</v>
      </c>
      <c r="C5" s="10">
        <v>203.6</v>
      </c>
      <c r="D5" s="11">
        <v>4.75</v>
      </c>
      <c r="E5" s="12">
        <v>87.9</v>
      </c>
      <c r="F5" s="12">
        <v>98.2</v>
      </c>
      <c r="G5" s="151">
        <v>25030450</v>
      </c>
    </row>
    <row r="6" ht="16.5" spans="1:7">
      <c r="A6" s="39" t="s">
        <v>1344</v>
      </c>
      <c r="B6" s="9">
        <v>396</v>
      </c>
      <c r="C6" s="10">
        <v>228.6</v>
      </c>
      <c r="D6" s="11">
        <v>5.35</v>
      </c>
      <c r="E6" s="12">
        <v>87</v>
      </c>
      <c r="F6" s="12">
        <v>97.3</v>
      </c>
      <c r="G6" s="9">
        <v>25040078</v>
      </c>
    </row>
    <row r="7" ht="16.5" spans="1:7">
      <c r="A7" s="39" t="s">
        <v>1345</v>
      </c>
      <c r="B7" s="9">
        <v>510.8</v>
      </c>
      <c r="C7" s="10">
        <v>198.7</v>
      </c>
      <c r="D7" s="11">
        <v>5.33</v>
      </c>
      <c r="E7" s="12">
        <v>76</v>
      </c>
      <c r="F7" s="12">
        <v>93.3</v>
      </c>
      <c r="G7" s="9">
        <v>25040227</v>
      </c>
    </row>
    <row r="8" ht="16.5" spans="1:7">
      <c r="A8" s="39" t="s">
        <v>1346</v>
      </c>
      <c r="B8" s="9">
        <v>522.2</v>
      </c>
      <c r="C8" s="10">
        <v>206.7</v>
      </c>
      <c r="D8" s="11">
        <v>5.04</v>
      </c>
      <c r="E8" s="12">
        <v>84.1</v>
      </c>
      <c r="F8" s="12">
        <v>95.8</v>
      </c>
      <c r="G8" s="151">
        <v>25040263</v>
      </c>
    </row>
    <row r="9" ht="16.5" spans="1:7">
      <c r="A9" s="39" t="s">
        <v>1347</v>
      </c>
      <c r="B9" s="9">
        <v>476</v>
      </c>
      <c r="C9" s="10">
        <v>220</v>
      </c>
      <c r="D9" s="11">
        <v>4.89</v>
      </c>
      <c r="E9" s="12">
        <v>84.4</v>
      </c>
      <c r="F9" s="12">
        <v>95.7</v>
      </c>
      <c r="G9" s="9">
        <v>25040519</v>
      </c>
    </row>
    <row r="10" ht="16.5" spans="1:7">
      <c r="A10" s="39" t="s">
        <v>1348</v>
      </c>
      <c r="B10" s="9">
        <v>486</v>
      </c>
      <c r="C10" s="10">
        <v>218.2</v>
      </c>
      <c r="D10" s="11">
        <v>4.97</v>
      </c>
      <c r="E10" s="12">
        <v>83.4</v>
      </c>
      <c r="F10" s="12">
        <v>95.1</v>
      </c>
      <c r="G10" s="9">
        <v>25040520</v>
      </c>
    </row>
    <row r="11" ht="16.5" spans="1:7">
      <c r="A11" s="39" t="s">
        <v>1349</v>
      </c>
      <c r="B11" s="9">
        <v>482.4</v>
      </c>
      <c r="C11" s="10">
        <v>206</v>
      </c>
      <c r="D11" s="11">
        <v>4.69</v>
      </c>
      <c r="E11" s="12">
        <v>81.6</v>
      </c>
      <c r="F11" s="12">
        <v>94.9</v>
      </c>
      <c r="G11" s="9">
        <v>25050081</v>
      </c>
    </row>
    <row r="12" ht="16.5" spans="1:7">
      <c r="A12" s="39" t="s">
        <v>1350</v>
      </c>
      <c r="B12" s="9">
        <v>481.6</v>
      </c>
      <c r="C12" s="10">
        <v>208.5</v>
      </c>
      <c r="D12" s="11">
        <v>5</v>
      </c>
      <c r="E12" s="12">
        <v>76.9</v>
      </c>
      <c r="F12" s="12">
        <v>92.4</v>
      </c>
      <c r="G12" s="9">
        <v>25050082</v>
      </c>
    </row>
    <row r="13" ht="16.5" spans="1:7">
      <c r="A13" s="39" t="s">
        <v>1351</v>
      </c>
      <c r="B13" s="9">
        <v>407.4</v>
      </c>
      <c r="C13" s="10">
        <v>210.8</v>
      </c>
      <c r="D13" s="11">
        <v>4.89</v>
      </c>
      <c r="E13" s="12">
        <v>85.4</v>
      </c>
      <c r="F13" s="12">
        <v>96.7</v>
      </c>
      <c r="G13" s="9">
        <v>25050101</v>
      </c>
    </row>
    <row r="14" ht="16.5" spans="1:7">
      <c r="A14" s="39" t="s">
        <v>1352</v>
      </c>
      <c r="B14" s="9">
        <v>692.8</v>
      </c>
      <c r="C14" s="10">
        <v>204.1</v>
      </c>
      <c r="D14" s="11">
        <v>4.94</v>
      </c>
      <c r="E14" s="12">
        <v>82.6</v>
      </c>
      <c r="F14" s="12">
        <v>95.2</v>
      </c>
      <c r="G14" s="9">
        <v>25050139</v>
      </c>
    </row>
    <row r="15" ht="16.5" spans="1:7">
      <c r="A15" s="39" t="s">
        <v>1353</v>
      </c>
      <c r="B15" s="9">
        <v>810.6</v>
      </c>
      <c r="C15" s="10">
        <v>201.2</v>
      </c>
      <c r="D15" s="11">
        <v>4.55</v>
      </c>
      <c r="E15" s="12">
        <v>89.3</v>
      </c>
      <c r="F15" s="12">
        <v>97.8</v>
      </c>
      <c r="G15" s="9">
        <v>25050166</v>
      </c>
    </row>
    <row r="16" ht="16.5" spans="1:7">
      <c r="A16" s="39" t="s">
        <v>1354</v>
      </c>
      <c r="B16" s="9">
        <v>730.4</v>
      </c>
      <c r="C16" s="10">
        <v>195.2</v>
      </c>
      <c r="D16" s="11">
        <v>5.38</v>
      </c>
      <c r="E16" s="12">
        <v>77.9</v>
      </c>
      <c r="F16" s="12">
        <v>92.7</v>
      </c>
      <c r="G16" s="9">
        <v>25050193</v>
      </c>
    </row>
    <row r="17" ht="16.5" spans="1:7">
      <c r="A17" s="39" t="s">
        <v>1355</v>
      </c>
      <c r="B17" s="9">
        <v>777.8</v>
      </c>
      <c r="C17" s="10">
        <v>220.6</v>
      </c>
      <c r="D17" s="11">
        <v>5</v>
      </c>
      <c r="E17" s="12">
        <v>86.8</v>
      </c>
      <c r="F17" s="12">
        <v>97.8</v>
      </c>
      <c r="G17" s="9">
        <v>25050207</v>
      </c>
    </row>
    <row r="18" ht="16.5" spans="1:7">
      <c r="A18" s="39" t="s">
        <v>1356</v>
      </c>
      <c r="B18" s="9">
        <v>450</v>
      </c>
      <c r="C18" s="10">
        <v>198.7</v>
      </c>
      <c r="D18" s="11">
        <v>4.43</v>
      </c>
      <c r="E18" s="12">
        <v>78.5</v>
      </c>
      <c r="F18" s="12">
        <v>93</v>
      </c>
      <c r="G18" s="9">
        <v>25060131</v>
      </c>
    </row>
    <row r="19" ht="16.5" spans="1:7">
      <c r="A19" s="68" t="s">
        <v>1357</v>
      </c>
      <c r="B19" s="9">
        <v>505.4</v>
      </c>
      <c r="C19" s="10">
        <v>228.6</v>
      </c>
      <c r="D19" s="11">
        <v>4.89</v>
      </c>
      <c r="E19" s="12">
        <v>89.8</v>
      </c>
      <c r="F19" s="12">
        <v>98</v>
      </c>
      <c r="G19" s="9">
        <v>25040495</v>
      </c>
    </row>
    <row r="20" ht="16.5" spans="1:7">
      <c r="A20" s="23" t="s">
        <v>1358</v>
      </c>
      <c r="B20" s="14">
        <v>351.2</v>
      </c>
      <c r="C20" s="15">
        <v>212.3</v>
      </c>
      <c r="D20" s="16">
        <v>5.11</v>
      </c>
      <c r="E20" s="17">
        <v>83.9</v>
      </c>
      <c r="F20" s="17">
        <v>95.8</v>
      </c>
      <c r="G20" s="14">
        <v>25050102</v>
      </c>
    </row>
    <row r="21" ht="16.5" spans="1:7">
      <c r="A21" s="23" t="s">
        <v>1359</v>
      </c>
      <c r="B21" s="14">
        <v>370.6</v>
      </c>
      <c r="C21" s="15">
        <v>217.3</v>
      </c>
      <c r="D21" s="16">
        <v>4.8</v>
      </c>
      <c r="E21" s="17">
        <v>87.1</v>
      </c>
      <c r="F21" s="17">
        <v>97.5</v>
      </c>
      <c r="G21" s="14">
        <v>25050117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9 B3:C18 B20:C21"/>
  </dataValidations>
  <pageMargins left="0.75" right="0.75" top="1" bottom="1" header="0.5" footer="0.5"/>
  <pageSetup paperSize="9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13" workbookViewId="0">
      <selection activeCell="F40" sqref="F40"/>
    </sheetView>
  </sheetViews>
  <sheetFormatPr defaultColWidth="9" defaultRowHeight="13.5" outlineLevelCol="6"/>
  <cols>
    <col min="1" max="1" width="15.625" customWidth="1"/>
    <col min="3" max="3" width="9.375"/>
    <col min="7" max="7" width="9.375"/>
  </cols>
  <sheetData>
    <row r="1" ht="16.5" spans="1:7">
      <c r="A1" s="116">
        <v>613</v>
      </c>
      <c r="B1" s="2">
        <f>SUM(B3:B30)</f>
        <v>10101.6</v>
      </c>
      <c r="C1" s="3" cm="1">
        <f t="array" ref="C1">SUMPRODUCT(C3:C30*B3:B30)/B1</f>
        <v>250.846164963966</v>
      </c>
      <c r="D1" s="4" cm="1">
        <f t="array" ref="D1">SUMPRODUCT(B3:B30*D3:D30)/B1</f>
        <v>4.96235091470658</v>
      </c>
      <c r="E1" s="3" cm="1">
        <f t="array" ref="E1">SUMPRODUCT(B3:B30*E3:E30)/B1</f>
        <v>87.2373544784985</v>
      </c>
      <c r="F1" s="3" cm="1">
        <f t="array" ref="F1">SUMPRODUCT(B3:B30*F3:F30)/B1</f>
        <v>96.7872416250891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1360</v>
      </c>
      <c r="B3" s="9">
        <v>788.2</v>
      </c>
      <c r="C3" s="10">
        <v>242</v>
      </c>
      <c r="D3" s="11">
        <v>3.79</v>
      </c>
      <c r="E3" s="12">
        <v>91.2</v>
      </c>
      <c r="F3" s="12">
        <v>98.2</v>
      </c>
      <c r="G3" s="34">
        <v>25060141</v>
      </c>
    </row>
    <row r="4" ht="16.5" spans="1:7">
      <c r="A4" s="39" t="s">
        <v>1361</v>
      </c>
      <c r="B4" s="9">
        <v>561.8</v>
      </c>
      <c r="C4" s="10">
        <v>279.6</v>
      </c>
      <c r="D4" s="11">
        <v>5.24</v>
      </c>
      <c r="E4" s="12">
        <v>89.6</v>
      </c>
      <c r="F4" s="12">
        <v>97.6</v>
      </c>
      <c r="G4" s="34">
        <v>24060204</v>
      </c>
    </row>
    <row r="5" ht="16.5" spans="1:7">
      <c r="A5" s="39" t="s">
        <v>1362</v>
      </c>
      <c r="B5" s="9">
        <v>802</v>
      </c>
      <c r="C5" s="10">
        <v>237.9</v>
      </c>
      <c r="D5" s="11">
        <v>3.94</v>
      </c>
      <c r="E5" s="12">
        <v>91</v>
      </c>
      <c r="F5" s="12">
        <v>98</v>
      </c>
      <c r="G5" s="34">
        <v>25060142</v>
      </c>
    </row>
    <row r="6" ht="16.5" spans="1:7">
      <c r="A6" s="68" t="s">
        <v>1363</v>
      </c>
      <c r="B6" s="9">
        <v>386</v>
      </c>
      <c r="C6" s="10">
        <v>277.8</v>
      </c>
      <c r="D6" s="11">
        <v>5.13</v>
      </c>
      <c r="E6" s="12">
        <v>89.6</v>
      </c>
      <c r="F6" s="12">
        <v>97.2</v>
      </c>
      <c r="G6" s="34">
        <v>24060208</v>
      </c>
    </row>
    <row r="7" ht="16.5" spans="1:7">
      <c r="A7" s="39" t="s">
        <v>1364</v>
      </c>
      <c r="B7" s="9">
        <v>591.6</v>
      </c>
      <c r="C7" s="10">
        <v>214.5</v>
      </c>
      <c r="D7" s="11">
        <v>3.97</v>
      </c>
      <c r="E7" s="12">
        <v>90.8</v>
      </c>
      <c r="F7" s="12">
        <v>98</v>
      </c>
      <c r="G7" s="34">
        <v>25060143</v>
      </c>
    </row>
    <row r="8" ht="16.5" spans="1:7">
      <c r="A8" s="39" t="s">
        <v>1365</v>
      </c>
      <c r="B8" s="9">
        <v>0</v>
      </c>
      <c r="C8" s="10">
        <v>285.3</v>
      </c>
      <c r="D8" s="11">
        <v>5.38</v>
      </c>
      <c r="E8" s="12">
        <v>91.4</v>
      </c>
      <c r="F8" s="12">
        <v>98.5</v>
      </c>
      <c r="G8" s="34">
        <v>24120076</v>
      </c>
    </row>
    <row r="9" ht="16.5" spans="1:7">
      <c r="A9" s="39" t="s">
        <v>1366</v>
      </c>
      <c r="B9" s="9">
        <v>493.8</v>
      </c>
      <c r="C9" s="10">
        <v>288.6</v>
      </c>
      <c r="D9" s="11">
        <v>5.66</v>
      </c>
      <c r="E9" s="12">
        <v>85.7</v>
      </c>
      <c r="F9" s="12">
        <v>97.1</v>
      </c>
      <c r="G9" s="34">
        <v>24120117</v>
      </c>
    </row>
    <row r="10" ht="16.5" spans="1:7">
      <c r="A10" s="39" t="s">
        <v>1367</v>
      </c>
      <c r="B10" s="9">
        <v>467.2</v>
      </c>
      <c r="C10" s="10">
        <v>284.6</v>
      </c>
      <c r="D10" s="11">
        <v>5.13</v>
      </c>
      <c r="E10" s="12">
        <v>91.2</v>
      </c>
      <c r="F10" s="12">
        <v>98.2</v>
      </c>
      <c r="G10" s="34">
        <v>24120229</v>
      </c>
    </row>
    <row r="11" ht="16.5" spans="1:7">
      <c r="A11" s="39" t="s">
        <v>1368</v>
      </c>
      <c r="B11" s="9">
        <v>814</v>
      </c>
      <c r="C11" s="10">
        <v>224.1</v>
      </c>
      <c r="D11" s="11">
        <v>4.46</v>
      </c>
      <c r="E11" s="12">
        <v>85</v>
      </c>
      <c r="F11" s="12">
        <v>95.8</v>
      </c>
      <c r="G11" s="34">
        <v>25060144</v>
      </c>
    </row>
    <row r="12" ht="16.5" spans="1:7">
      <c r="A12" s="39" t="s">
        <v>1369</v>
      </c>
      <c r="B12" s="9">
        <v>331.8</v>
      </c>
      <c r="C12" s="10">
        <v>283.7</v>
      </c>
      <c r="D12" s="11">
        <v>5.11</v>
      </c>
      <c r="E12" s="12">
        <v>90.6</v>
      </c>
      <c r="F12" s="12">
        <v>98</v>
      </c>
      <c r="G12" s="34">
        <v>24120230</v>
      </c>
    </row>
    <row r="13" ht="16.5" spans="1:7">
      <c r="A13" s="39" t="s">
        <v>1370</v>
      </c>
      <c r="B13" s="9">
        <v>487.2</v>
      </c>
      <c r="C13" s="10">
        <v>272.7</v>
      </c>
      <c r="D13" s="11">
        <v>5.19</v>
      </c>
      <c r="E13" s="12">
        <v>92.9</v>
      </c>
      <c r="F13" s="12">
        <v>99.1</v>
      </c>
      <c r="G13" s="34">
        <v>24120232</v>
      </c>
    </row>
    <row r="14" ht="16.5" spans="1:7">
      <c r="A14" s="39" t="s">
        <v>1371</v>
      </c>
      <c r="B14" s="9">
        <v>417.4</v>
      </c>
      <c r="C14" s="10">
        <v>259.5</v>
      </c>
      <c r="D14" s="11">
        <v>4.46</v>
      </c>
      <c r="E14" s="12">
        <v>89.1</v>
      </c>
      <c r="F14" s="12">
        <v>97.4</v>
      </c>
      <c r="G14" s="34">
        <v>25060126</v>
      </c>
    </row>
    <row r="15" ht="16.5" spans="1:7">
      <c r="A15" s="39" t="s">
        <v>1372</v>
      </c>
      <c r="B15" s="9">
        <v>402</v>
      </c>
      <c r="C15" s="10">
        <v>270.1</v>
      </c>
      <c r="D15" s="11">
        <v>5.57</v>
      </c>
      <c r="E15" s="12">
        <v>91.8</v>
      </c>
      <c r="F15" s="12">
        <v>99</v>
      </c>
      <c r="G15" s="34">
        <v>24120235</v>
      </c>
    </row>
    <row r="16" ht="16.5" spans="1:7">
      <c r="A16" s="39" t="s">
        <v>1373</v>
      </c>
      <c r="B16" s="9">
        <v>569</v>
      </c>
      <c r="C16" s="10">
        <v>205.1</v>
      </c>
      <c r="D16" s="11">
        <v>5.63</v>
      </c>
      <c r="E16" s="12">
        <v>73.1</v>
      </c>
      <c r="F16" s="12">
        <v>90.3</v>
      </c>
      <c r="G16" s="34">
        <v>24060188</v>
      </c>
    </row>
    <row r="17" ht="16.5" spans="1:7">
      <c r="A17" s="39" t="s">
        <v>1374</v>
      </c>
      <c r="B17" s="9">
        <v>433.4</v>
      </c>
      <c r="C17" s="10">
        <v>266.6</v>
      </c>
      <c r="D17" s="11">
        <v>5.24</v>
      </c>
      <c r="E17" s="12">
        <v>90.9</v>
      </c>
      <c r="F17" s="12">
        <v>98.8</v>
      </c>
      <c r="G17" s="34">
        <v>25010431</v>
      </c>
    </row>
    <row r="18" ht="16.5" spans="1:7">
      <c r="A18" s="23" t="s">
        <v>1375</v>
      </c>
      <c r="B18" s="14">
        <v>488.2</v>
      </c>
      <c r="C18" s="15">
        <v>234.8</v>
      </c>
      <c r="D18" s="16">
        <v>5.73</v>
      </c>
      <c r="E18" s="17">
        <v>83.5</v>
      </c>
      <c r="F18" s="17">
        <v>95.2</v>
      </c>
      <c r="G18" s="14">
        <v>25060111</v>
      </c>
    </row>
    <row r="19" ht="16.5" spans="1:7">
      <c r="A19" s="23" t="s">
        <v>1376</v>
      </c>
      <c r="B19" s="14">
        <v>310.8</v>
      </c>
      <c r="C19" s="15">
        <v>238.8</v>
      </c>
      <c r="D19" s="16">
        <v>4.75</v>
      </c>
      <c r="E19" s="17">
        <v>86.6</v>
      </c>
      <c r="F19" s="17">
        <v>97.1</v>
      </c>
      <c r="G19" s="14">
        <v>25060128</v>
      </c>
    </row>
    <row r="20" ht="16.5" spans="1:7">
      <c r="A20" s="23" t="s">
        <v>1377</v>
      </c>
      <c r="B20" s="14">
        <v>490</v>
      </c>
      <c r="C20" s="15">
        <v>238.2</v>
      </c>
      <c r="D20" s="16">
        <v>5.9</v>
      </c>
      <c r="E20" s="17">
        <v>77.3</v>
      </c>
      <c r="F20" s="17">
        <v>93.9</v>
      </c>
      <c r="G20" s="14">
        <v>25030283</v>
      </c>
    </row>
    <row r="21" ht="16.5" spans="1:7">
      <c r="A21" s="23" t="s">
        <v>1378</v>
      </c>
      <c r="B21" s="14">
        <v>239.6</v>
      </c>
      <c r="C21" s="15">
        <v>235.9</v>
      </c>
      <c r="D21" s="16">
        <v>4.63</v>
      </c>
      <c r="E21" s="17">
        <v>88.8</v>
      </c>
      <c r="F21" s="17">
        <v>97.7</v>
      </c>
      <c r="G21" s="14">
        <v>25050232</v>
      </c>
    </row>
    <row r="22" ht="16.5" spans="1:7">
      <c r="A22" s="23" t="s">
        <v>1379</v>
      </c>
      <c r="B22" s="14">
        <v>501.6</v>
      </c>
      <c r="C22" s="15">
        <v>233.6</v>
      </c>
      <c r="D22" s="16">
        <v>6.03</v>
      </c>
      <c r="E22" s="17">
        <v>77.4</v>
      </c>
      <c r="F22" s="17">
        <v>92.7</v>
      </c>
      <c r="G22" s="14">
        <v>25010106</v>
      </c>
    </row>
    <row r="23" ht="16.5" spans="1:7">
      <c r="A23" s="23" t="s">
        <v>1380</v>
      </c>
      <c r="B23" s="14">
        <v>526</v>
      </c>
      <c r="C23" s="15">
        <v>281.2</v>
      </c>
      <c r="D23" s="16">
        <v>5.3</v>
      </c>
      <c r="E23" s="17">
        <v>90.4</v>
      </c>
      <c r="F23" s="17">
        <v>98</v>
      </c>
      <c r="G23" s="14">
        <v>25020237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3"/>
  </dataValidations>
  <pageMargins left="0.75" right="0.75" top="1" bottom="1" header="0.5" footer="0.5"/>
  <pageSetup paperSize="9" orientation="portrait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33" sqref="$A33:$XFD39"/>
    </sheetView>
  </sheetViews>
  <sheetFormatPr defaultColWidth="9" defaultRowHeight="13.5" outlineLevelCol="6"/>
  <cols>
    <col min="1" max="1" width="15.625" customWidth="1"/>
    <col min="3" max="3" width="9.375"/>
    <col min="7" max="7" width="9.375"/>
  </cols>
  <sheetData>
    <row r="1" ht="16.5" spans="1:7">
      <c r="A1" s="116">
        <v>614</v>
      </c>
      <c r="B1" s="2">
        <f>SUM(B3:B30)</f>
        <v>9992.4</v>
      </c>
      <c r="C1" s="3" cm="1">
        <f t="array" ref="C1">SUMPRODUCT(C3:C30*B3:B30)/B1</f>
        <v>229.060501981506</v>
      </c>
      <c r="D1" s="4" cm="1">
        <f t="array" ref="D1">SUMPRODUCT(B3:B30*D3:D30)/B1</f>
        <v>4.9737560546015</v>
      </c>
      <c r="E1" s="3" cm="1">
        <f t="array" ref="E1">SUMPRODUCT(B3:B30*E3:E30)/B1</f>
        <v>85.8880669308675</v>
      </c>
      <c r="F1" s="3" cm="1">
        <f t="array" ref="F1">SUMPRODUCT(B3:B30*F3:F30)/B1</f>
        <v>96.5918938393179</v>
      </c>
      <c r="G1" s="70"/>
    </row>
    <row r="2" ht="16.5" spans="1:7">
      <c r="A2" s="6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0"/>
    </row>
    <row r="3" ht="16.5" spans="1:7">
      <c r="A3" s="39" t="s">
        <v>917</v>
      </c>
      <c r="B3" s="9">
        <v>508.2</v>
      </c>
      <c r="C3" s="10">
        <v>256.9</v>
      </c>
      <c r="D3" s="11">
        <v>5.16</v>
      </c>
      <c r="E3" s="12">
        <v>83.2</v>
      </c>
      <c r="F3" s="12">
        <v>94.6</v>
      </c>
      <c r="G3" s="56">
        <v>25010100</v>
      </c>
    </row>
    <row r="4" ht="16.5" spans="1:7">
      <c r="A4" s="39" t="s">
        <v>919</v>
      </c>
      <c r="B4" s="9">
        <v>494.4</v>
      </c>
      <c r="C4" s="10">
        <v>257.2</v>
      </c>
      <c r="D4" s="11">
        <v>5.16</v>
      </c>
      <c r="E4" s="12">
        <v>83.3</v>
      </c>
      <c r="F4" s="12">
        <v>94.7</v>
      </c>
      <c r="G4" s="56">
        <v>25010101</v>
      </c>
    </row>
    <row r="5" ht="16.5" spans="1:7">
      <c r="A5" s="39" t="s">
        <v>1381</v>
      </c>
      <c r="B5" s="9">
        <v>511.4</v>
      </c>
      <c r="C5" s="10">
        <v>254.5</v>
      </c>
      <c r="D5" s="11">
        <v>5.02</v>
      </c>
      <c r="E5" s="12">
        <v>91.5</v>
      </c>
      <c r="F5" s="12">
        <v>98.7</v>
      </c>
      <c r="G5" s="56">
        <v>25010384</v>
      </c>
    </row>
    <row r="6" ht="16.5" spans="1:7">
      <c r="A6" s="39" t="s">
        <v>1382</v>
      </c>
      <c r="B6" s="9">
        <v>505.6</v>
      </c>
      <c r="C6" s="10">
        <v>212.1</v>
      </c>
      <c r="D6" s="11">
        <v>5.3</v>
      </c>
      <c r="E6" s="12">
        <v>84.2</v>
      </c>
      <c r="F6" s="12">
        <v>96.6</v>
      </c>
      <c r="G6" s="56">
        <v>25010552</v>
      </c>
    </row>
    <row r="7" ht="16.5" spans="1:7">
      <c r="A7" s="39" t="s">
        <v>1383</v>
      </c>
      <c r="B7" s="9">
        <v>499</v>
      </c>
      <c r="C7" s="10">
        <v>220.8</v>
      </c>
      <c r="D7" s="11">
        <v>5.16</v>
      </c>
      <c r="E7" s="12">
        <v>79.2</v>
      </c>
      <c r="F7" s="12">
        <v>93.6</v>
      </c>
      <c r="G7" s="56">
        <v>25040208</v>
      </c>
    </row>
    <row r="8" ht="16.5" spans="1:7">
      <c r="A8" s="39" t="s">
        <v>1384</v>
      </c>
      <c r="B8" s="9">
        <v>771</v>
      </c>
      <c r="C8" s="10">
        <v>239.9</v>
      </c>
      <c r="D8" s="11">
        <v>4.38</v>
      </c>
      <c r="E8" s="12">
        <v>91.7</v>
      </c>
      <c r="F8" s="12">
        <v>98.7</v>
      </c>
      <c r="G8" s="56">
        <v>25040336</v>
      </c>
    </row>
    <row r="9" ht="16.5" spans="1:7">
      <c r="A9" s="39" t="s">
        <v>1385</v>
      </c>
      <c r="B9" s="9">
        <v>465.6</v>
      </c>
      <c r="C9" s="10">
        <v>225.3</v>
      </c>
      <c r="D9" s="11">
        <v>4.77</v>
      </c>
      <c r="E9" s="12">
        <v>85.6</v>
      </c>
      <c r="F9" s="12">
        <v>96</v>
      </c>
      <c r="G9" s="56">
        <v>25040397</v>
      </c>
    </row>
    <row r="10" ht="16.5" spans="1:7">
      <c r="A10" s="39" t="s">
        <v>1386</v>
      </c>
      <c r="B10" s="9">
        <v>428</v>
      </c>
      <c r="C10" s="10">
        <v>221.3</v>
      </c>
      <c r="D10" s="11">
        <v>4.75</v>
      </c>
      <c r="E10" s="12">
        <v>85.4</v>
      </c>
      <c r="F10" s="12">
        <v>96</v>
      </c>
      <c r="G10" s="56">
        <v>25040398</v>
      </c>
    </row>
    <row r="11" ht="16.5" spans="1:7">
      <c r="A11" s="39" t="s">
        <v>1387</v>
      </c>
      <c r="B11" s="9">
        <v>488</v>
      </c>
      <c r="C11" s="10">
        <v>208.9</v>
      </c>
      <c r="D11" s="11">
        <v>5.44</v>
      </c>
      <c r="E11" s="12">
        <v>83.8</v>
      </c>
      <c r="F11" s="12">
        <v>96.1</v>
      </c>
      <c r="G11" s="56">
        <v>25040499</v>
      </c>
    </row>
    <row r="12" ht="16.5" spans="1:7">
      <c r="A12" s="39" t="s">
        <v>1388</v>
      </c>
      <c r="B12" s="9">
        <v>516.4</v>
      </c>
      <c r="C12" s="10">
        <v>222</v>
      </c>
      <c r="D12" s="11">
        <v>5.11</v>
      </c>
      <c r="E12" s="12">
        <v>90</v>
      </c>
      <c r="F12" s="12">
        <v>98.6</v>
      </c>
      <c r="G12" s="56">
        <v>25040534</v>
      </c>
    </row>
    <row r="13" ht="16.5" spans="1:7">
      <c r="A13" s="39" t="s">
        <v>1389</v>
      </c>
      <c r="B13" s="9">
        <v>487.4</v>
      </c>
      <c r="C13" s="10">
        <v>241.9</v>
      </c>
      <c r="D13" s="11">
        <v>4.61</v>
      </c>
      <c r="E13" s="12">
        <v>89.4</v>
      </c>
      <c r="F13" s="12">
        <v>97.9</v>
      </c>
      <c r="G13" s="56">
        <v>25050116</v>
      </c>
    </row>
    <row r="14" ht="16.5" spans="1:7">
      <c r="A14" s="39" t="s">
        <v>1390</v>
      </c>
      <c r="B14" s="9">
        <v>289.4</v>
      </c>
      <c r="C14" s="10">
        <v>210.4</v>
      </c>
      <c r="D14" s="11">
        <v>4.86</v>
      </c>
      <c r="E14" s="12">
        <v>86.6</v>
      </c>
      <c r="F14" s="12">
        <v>97.5</v>
      </c>
      <c r="G14" s="56">
        <v>25050119</v>
      </c>
    </row>
    <row r="15" ht="16.5" spans="1:7">
      <c r="A15" s="39" t="s">
        <v>1391</v>
      </c>
      <c r="B15" s="9">
        <v>417.6</v>
      </c>
      <c r="C15" s="10">
        <v>212.1</v>
      </c>
      <c r="D15" s="11">
        <v>5.57</v>
      </c>
      <c r="E15" s="12">
        <v>80.7</v>
      </c>
      <c r="F15" s="12">
        <v>93.6</v>
      </c>
      <c r="G15" s="56">
        <v>24050136</v>
      </c>
    </row>
    <row r="16" ht="16.5" spans="1:7">
      <c r="A16" s="39" t="s">
        <v>1392</v>
      </c>
      <c r="B16" s="9">
        <v>777.2</v>
      </c>
      <c r="C16" s="10">
        <v>246.9</v>
      </c>
      <c r="D16" s="11">
        <v>5.24</v>
      </c>
      <c r="E16" s="12">
        <v>83.4</v>
      </c>
      <c r="F16" s="12">
        <v>95.6</v>
      </c>
      <c r="G16" s="56">
        <v>25060094</v>
      </c>
    </row>
    <row r="17" ht="16.5" spans="1:7">
      <c r="A17" s="39" t="s">
        <v>1393</v>
      </c>
      <c r="B17" s="9">
        <v>483.8</v>
      </c>
      <c r="C17" s="10">
        <v>234.6</v>
      </c>
      <c r="D17" s="11">
        <v>4.8</v>
      </c>
      <c r="E17" s="12">
        <v>85.9</v>
      </c>
      <c r="F17" s="12">
        <v>97</v>
      </c>
      <c r="G17" s="56">
        <v>25060129</v>
      </c>
    </row>
    <row r="18" ht="16.5" spans="1:7">
      <c r="A18" s="39" t="s">
        <v>1394</v>
      </c>
      <c r="B18" s="9">
        <v>486.4</v>
      </c>
      <c r="C18" s="10">
        <v>235.4</v>
      </c>
      <c r="D18" s="11">
        <v>4.82</v>
      </c>
      <c r="E18" s="12">
        <v>85.9</v>
      </c>
      <c r="F18" s="12">
        <v>96.9</v>
      </c>
      <c r="G18" s="56">
        <v>25060130</v>
      </c>
    </row>
    <row r="19" ht="16.5" spans="1:7">
      <c r="A19" s="39" t="s">
        <v>1395</v>
      </c>
      <c r="B19" s="9">
        <v>739</v>
      </c>
      <c r="C19" s="10">
        <v>210</v>
      </c>
      <c r="D19" s="11">
        <v>4.8</v>
      </c>
      <c r="E19" s="12">
        <v>85.7</v>
      </c>
      <c r="F19" s="12">
        <v>97.1</v>
      </c>
      <c r="G19" s="56">
        <v>25050138</v>
      </c>
    </row>
    <row r="20" ht="16.5" spans="1:7">
      <c r="A20" s="23" t="s">
        <v>1396</v>
      </c>
      <c r="B20" s="14">
        <v>439</v>
      </c>
      <c r="C20" s="15">
        <v>217.3</v>
      </c>
      <c r="D20" s="16">
        <v>4.82</v>
      </c>
      <c r="E20" s="17">
        <v>85.9</v>
      </c>
      <c r="F20" s="17">
        <v>97</v>
      </c>
      <c r="G20" s="14">
        <v>25050100</v>
      </c>
    </row>
    <row r="21" ht="16.5" spans="1:7">
      <c r="A21" s="23" t="s">
        <v>1397</v>
      </c>
      <c r="B21" s="14">
        <v>481.8</v>
      </c>
      <c r="C21" s="15">
        <v>204.3</v>
      </c>
      <c r="D21" s="16">
        <v>4.97</v>
      </c>
      <c r="E21" s="17">
        <v>86.5</v>
      </c>
      <c r="F21" s="17">
        <v>97.5</v>
      </c>
      <c r="G21" s="14">
        <v>25050039</v>
      </c>
    </row>
    <row r="22" ht="16.5" spans="1:7">
      <c r="A22" s="23" t="s">
        <v>1398</v>
      </c>
      <c r="B22" s="14">
        <v>203.2</v>
      </c>
      <c r="C22" s="15">
        <v>227.1</v>
      </c>
      <c r="D22" s="16">
        <v>4.94</v>
      </c>
      <c r="E22" s="17">
        <v>89.5</v>
      </c>
      <c r="F22" s="17">
        <v>97.8</v>
      </c>
      <c r="G22" s="14">
        <v>25040497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6:B8 B12:B21 C6:C22 B3:C5"/>
  </dataValidations>
  <pageMargins left="0.75" right="0.75" top="1" bottom="1" header="0.5" footer="0.5"/>
  <pageSetup paperSize="9" orientation="portrait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</cols>
  <sheetData>
    <row r="1" ht="16.5" spans="1:7">
      <c r="A1" s="116">
        <v>615</v>
      </c>
      <c r="B1" s="2">
        <f>SUM(B3:B30)</f>
        <v>10073.2</v>
      </c>
      <c r="C1" s="3" cm="1">
        <f t="array" ref="C1">SUMPRODUCT(C3:C30*B3:B30)/B1</f>
        <v>209.667356947147</v>
      </c>
      <c r="D1" s="4" cm="1">
        <f t="array" ref="D1">SUMPRODUCT(B3:B30*D3:D30)/B1</f>
        <v>4.97342175276972</v>
      </c>
      <c r="E1" s="3" cm="1">
        <f t="array" ref="E1">SUMPRODUCT(B3:B30*E3:E30)/B1</f>
        <v>85.3589445260692</v>
      </c>
      <c r="F1" s="3" cm="1">
        <f t="array" ref="F1">SUMPRODUCT(B3:B30*F3:F30)/B1</f>
        <v>96.8389766906246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0"/>
    </row>
    <row r="3" ht="16.5" spans="1:7">
      <c r="A3" s="23" t="s">
        <v>874</v>
      </c>
      <c r="B3" s="14">
        <v>510.2</v>
      </c>
      <c r="C3" s="15">
        <v>219.4</v>
      </c>
      <c r="D3" s="16">
        <v>5.08</v>
      </c>
      <c r="E3" s="17">
        <v>86.4</v>
      </c>
      <c r="F3" s="17">
        <v>97.1</v>
      </c>
      <c r="G3" s="53">
        <v>25020157</v>
      </c>
    </row>
    <row r="4" ht="16.5" spans="1:7">
      <c r="A4" s="23" t="s">
        <v>1399</v>
      </c>
      <c r="B4" s="14">
        <v>313.6</v>
      </c>
      <c r="C4" s="15">
        <v>193</v>
      </c>
      <c r="D4" s="16">
        <v>4.82</v>
      </c>
      <c r="E4" s="17">
        <v>80.5</v>
      </c>
      <c r="F4" s="17">
        <v>95.1</v>
      </c>
      <c r="G4" s="53">
        <v>25030339</v>
      </c>
    </row>
    <row r="5" ht="16.5" spans="1:7">
      <c r="A5" s="23" t="s">
        <v>1052</v>
      </c>
      <c r="B5" s="14">
        <v>512.4</v>
      </c>
      <c r="C5" s="15">
        <v>207.4</v>
      </c>
      <c r="D5" s="16">
        <v>4.69</v>
      </c>
      <c r="E5" s="17">
        <v>88.9</v>
      </c>
      <c r="F5" s="17">
        <v>98.6</v>
      </c>
      <c r="G5" s="53">
        <v>25040040</v>
      </c>
    </row>
    <row r="6" ht="16.5" spans="1:7">
      <c r="A6" s="23" t="s">
        <v>1400</v>
      </c>
      <c r="B6" s="14">
        <v>792.2</v>
      </c>
      <c r="C6" s="15">
        <v>208.5</v>
      </c>
      <c r="D6" s="16">
        <v>4.69</v>
      </c>
      <c r="E6" s="17">
        <v>89</v>
      </c>
      <c r="F6" s="17">
        <v>98.8</v>
      </c>
      <c r="G6" s="53">
        <v>25040041</v>
      </c>
    </row>
    <row r="7" ht="16.5" spans="1:7">
      <c r="A7" s="23" t="s">
        <v>1401</v>
      </c>
      <c r="B7" s="14">
        <v>792.4</v>
      </c>
      <c r="C7" s="15">
        <v>215.2</v>
      </c>
      <c r="D7" s="16">
        <v>5.13</v>
      </c>
      <c r="E7" s="17">
        <v>85.9</v>
      </c>
      <c r="F7" s="17">
        <v>96.9</v>
      </c>
      <c r="G7" s="53">
        <v>25040042</v>
      </c>
    </row>
    <row r="8" ht="16.5" spans="1:7">
      <c r="A8" s="23" t="s">
        <v>1402</v>
      </c>
      <c r="B8" s="14">
        <v>762.8</v>
      </c>
      <c r="C8" s="15">
        <v>208.3</v>
      </c>
      <c r="D8" s="16">
        <v>4.61</v>
      </c>
      <c r="E8" s="17">
        <v>88.2</v>
      </c>
      <c r="F8" s="17">
        <v>98.4</v>
      </c>
      <c r="G8" s="53">
        <v>25040058</v>
      </c>
    </row>
    <row r="9" ht="16.5" spans="1:7">
      <c r="A9" s="23" t="s">
        <v>1403</v>
      </c>
      <c r="B9" s="14">
        <v>507</v>
      </c>
      <c r="C9" s="15">
        <v>214.8</v>
      </c>
      <c r="D9" s="16">
        <v>5</v>
      </c>
      <c r="E9" s="17">
        <v>88.7</v>
      </c>
      <c r="F9" s="17">
        <v>98.1</v>
      </c>
      <c r="G9" s="53">
        <v>25040076</v>
      </c>
    </row>
    <row r="10" ht="16.5" spans="1:7">
      <c r="A10" s="23" t="s">
        <v>1404</v>
      </c>
      <c r="B10" s="14">
        <v>518.4</v>
      </c>
      <c r="C10" s="15">
        <v>219.3</v>
      </c>
      <c r="D10" s="16">
        <v>5</v>
      </c>
      <c r="E10" s="17">
        <v>89.9</v>
      </c>
      <c r="F10" s="17">
        <v>98.7</v>
      </c>
      <c r="G10" s="53">
        <v>25040113</v>
      </c>
    </row>
    <row r="11" ht="16.5" spans="1:7">
      <c r="A11" s="23" t="s">
        <v>1405</v>
      </c>
      <c r="B11" s="14">
        <v>433.4</v>
      </c>
      <c r="C11" s="15">
        <v>208</v>
      </c>
      <c r="D11" s="16">
        <v>4.57</v>
      </c>
      <c r="E11" s="17">
        <v>86.9</v>
      </c>
      <c r="F11" s="17">
        <v>97.7</v>
      </c>
      <c r="G11" s="53">
        <v>25040223</v>
      </c>
    </row>
    <row r="12" ht="16.5" spans="1:7">
      <c r="A12" s="23" t="s">
        <v>1406</v>
      </c>
      <c r="B12" s="14">
        <v>507</v>
      </c>
      <c r="C12" s="15">
        <v>207.5</v>
      </c>
      <c r="D12" s="16">
        <v>5.38</v>
      </c>
      <c r="E12" s="17">
        <v>84.4</v>
      </c>
      <c r="F12" s="17">
        <v>96.4</v>
      </c>
      <c r="G12" s="53">
        <v>25050121</v>
      </c>
    </row>
    <row r="13" ht="16.5" spans="1:7">
      <c r="A13" s="23" t="s">
        <v>1407</v>
      </c>
      <c r="B13" s="14">
        <v>403</v>
      </c>
      <c r="C13" s="15">
        <v>204.9</v>
      </c>
      <c r="D13" s="16">
        <v>5.08</v>
      </c>
      <c r="E13" s="17">
        <v>81.1</v>
      </c>
      <c r="F13" s="17">
        <v>94.7</v>
      </c>
      <c r="G13" s="53">
        <v>25050140</v>
      </c>
    </row>
    <row r="14" ht="16.5" spans="1:7">
      <c r="A14" s="23" t="s">
        <v>1408</v>
      </c>
      <c r="B14" s="14">
        <v>706.6</v>
      </c>
      <c r="C14" s="15">
        <v>205.3</v>
      </c>
      <c r="D14" s="16">
        <v>4.57</v>
      </c>
      <c r="E14" s="17">
        <v>89.1</v>
      </c>
      <c r="F14" s="17">
        <v>98.4</v>
      </c>
      <c r="G14" s="53">
        <v>25050151</v>
      </c>
    </row>
    <row r="15" ht="16.5" spans="1:7">
      <c r="A15" s="23" t="s">
        <v>1409</v>
      </c>
      <c r="B15" s="14">
        <v>741.6</v>
      </c>
      <c r="C15" s="15">
        <v>207.5</v>
      </c>
      <c r="D15" s="16">
        <v>4.61</v>
      </c>
      <c r="E15" s="17">
        <v>88.8</v>
      </c>
      <c r="F15" s="17">
        <v>98.2</v>
      </c>
      <c r="G15" s="53">
        <v>25050152</v>
      </c>
    </row>
    <row r="16" ht="16.5" spans="1:7">
      <c r="A16" s="23" t="s">
        <v>1410</v>
      </c>
      <c r="B16" s="14">
        <v>259</v>
      </c>
      <c r="C16" s="15">
        <v>199.5</v>
      </c>
      <c r="D16" s="16">
        <v>5</v>
      </c>
      <c r="E16" s="17">
        <v>85.3</v>
      </c>
      <c r="F16" s="17">
        <v>96.6</v>
      </c>
      <c r="G16" s="53">
        <v>25050153</v>
      </c>
    </row>
    <row r="17" ht="16.5" spans="1:7">
      <c r="A17" s="23" t="s">
        <v>1411</v>
      </c>
      <c r="B17" s="14">
        <v>474.8</v>
      </c>
      <c r="C17" s="15">
        <v>217.5</v>
      </c>
      <c r="D17" s="16">
        <v>5.38</v>
      </c>
      <c r="E17" s="17">
        <v>84.1</v>
      </c>
      <c r="F17" s="17">
        <v>96.2</v>
      </c>
      <c r="G17" s="53">
        <v>25050206</v>
      </c>
    </row>
    <row r="18" ht="16.5" spans="1:7">
      <c r="A18" s="23" t="s">
        <v>1412</v>
      </c>
      <c r="B18" s="14">
        <v>459</v>
      </c>
      <c r="C18" s="15">
        <v>199.6</v>
      </c>
      <c r="D18" s="16">
        <v>5</v>
      </c>
      <c r="E18" s="17">
        <v>82.8</v>
      </c>
      <c r="F18" s="17">
        <v>95.9</v>
      </c>
      <c r="G18" s="53">
        <v>25060180</v>
      </c>
    </row>
    <row r="19" ht="16.5" spans="1:7">
      <c r="A19" s="23" t="s">
        <v>1413</v>
      </c>
      <c r="B19" s="14">
        <v>159.8</v>
      </c>
      <c r="C19" s="15">
        <v>220</v>
      </c>
      <c r="D19" s="16">
        <v>4.97</v>
      </c>
      <c r="E19" s="17">
        <v>84.9</v>
      </c>
      <c r="F19" s="17">
        <v>96.6</v>
      </c>
      <c r="G19" s="53">
        <v>25060196</v>
      </c>
    </row>
    <row r="20" ht="16.5" spans="1:7">
      <c r="A20" s="23" t="s">
        <v>1414</v>
      </c>
      <c r="B20" s="14">
        <v>799.2</v>
      </c>
      <c r="C20" s="15">
        <v>210.5</v>
      </c>
      <c r="D20" s="16">
        <v>5.55</v>
      </c>
      <c r="E20" s="17">
        <v>75.4</v>
      </c>
      <c r="F20" s="17">
        <v>92.3</v>
      </c>
      <c r="G20" s="53">
        <v>25060233</v>
      </c>
    </row>
    <row r="21" ht="16.5" spans="1:7">
      <c r="A21" s="23" t="s">
        <v>1415</v>
      </c>
      <c r="B21" s="14">
        <v>420.8</v>
      </c>
      <c r="C21" s="15">
        <v>212.2</v>
      </c>
      <c r="D21" s="16">
        <v>5.68</v>
      </c>
      <c r="E21" s="17">
        <v>75.4</v>
      </c>
      <c r="F21" s="17">
        <v>92.5</v>
      </c>
      <c r="G21" s="53">
        <v>25060234</v>
      </c>
    </row>
    <row r="22" spans="1:7">
      <c r="G22" s="70"/>
    </row>
    <row r="23" spans="1:7">
      <c r="G23" s="70"/>
    </row>
    <row r="24" spans="1:7">
      <c r="G24" s="70"/>
    </row>
    <row r="25" spans="1:7">
      <c r="G25" s="70"/>
    </row>
    <row r="26" spans="1:7">
      <c r="G26" s="70"/>
    </row>
    <row r="27" spans="1:7">
      <c r="G27" s="70"/>
    </row>
    <row r="28" spans="1:7">
      <c r="G28" s="70"/>
    </row>
    <row r="29" spans="1:7">
      <c r="G29" s="70"/>
    </row>
    <row r="30" spans="1:7">
      <c r="G30" s="70"/>
    </row>
    <row r="31" spans="1:7">
      <c r="G31" s="70"/>
    </row>
  </sheetData>
  <conditionalFormatting sqref="A1:A2">
    <cfRule type="duplicateValues" dxfId="0" priority="1"/>
  </conditionalFormatting>
  <dataValidations count="1">
    <dataValidation allowBlank="1" showInputMessage="1" showErrorMessage="1" sqref="B3:C21"/>
  </dataValidations>
  <pageMargins left="0.75" right="0.75" top="1" bottom="1" header="0.5" footer="0.5"/>
  <pageSetup paperSize="9" orientation="portrait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F23" sqref="F23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616</v>
      </c>
      <c r="B1" s="2">
        <f>SUM(B3:B30)</f>
        <v>10048</v>
      </c>
      <c r="C1" s="3" cm="1">
        <f t="array" ref="C1">SUMPRODUCT(C3:C30*B3:B30)/B1</f>
        <v>170.737695063694</v>
      </c>
      <c r="D1" s="4" cm="1">
        <f t="array" ref="D1">SUMPRODUCT(B3:B30*D3:D30)/B1</f>
        <v>3.98473666401274</v>
      </c>
      <c r="E1" s="3" cm="1">
        <f t="array" ref="E1">SUMPRODUCT(B3:B30*E3:E30)/B1</f>
        <v>80.1209673566879</v>
      </c>
      <c r="F1" s="3" cm="1">
        <f t="array" ref="F1">SUMPRODUCT(B3:B30*F3:F30)/B1</f>
        <v>94.9554717356688</v>
      </c>
      <c r="G1" s="3" cm="1">
        <f t="array" ref="G1">SUMPRODUCT(B3:B30*G3:G30)/B1</f>
        <v>11.577716361465</v>
      </c>
    </row>
    <row r="2" ht="16.5" spans="1: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0" t="s">
        <v>1416</v>
      </c>
      <c r="B3" s="24">
        <v>517.4</v>
      </c>
      <c r="C3" s="28">
        <v>177.2</v>
      </c>
      <c r="D3" s="25">
        <v>5.13</v>
      </c>
      <c r="E3" s="29">
        <v>46.6</v>
      </c>
      <c r="F3" s="29">
        <v>76.6</v>
      </c>
      <c r="G3" s="25">
        <v>11.36</v>
      </c>
      <c r="H3" s="105">
        <v>25020170</v>
      </c>
    </row>
    <row r="4" ht="16.5" spans="1:8">
      <c r="A4" s="30" t="s">
        <v>1417</v>
      </c>
      <c r="B4" s="24">
        <v>504.4</v>
      </c>
      <c r="C4" s="28">
        <v>211.9</v>
      </c>
      <c r="D4" s="25">
        <v>5.16</v>
      </c>
      <c r="E4" s="29">
        <v>82.5</v>
      </c>
      <c r="F4" s="29">
        <v>95.2</v>
      </c>
      <c r="G4" s="25">
        <v>11</v>
      </c>
      <c r="H4" s="105">
        <v>25040005</v>
      </c>
    </row>
    <row r="5" ht="16.5" spans="1:8">
      <c r="A5" s="30" t="s">
        <v>1418</v>
      </c>
      <c r="B5" s="24">
        <v>340.4</v>
      </c>
      <c r="C5" s="28">
        <v>210.3</v>
      </c>
      <c r="D5" s="25">
        <v>5.13</v>
      </c>
      <c r="E5" s="29">
        <v>81.8</v>
      </c>
      <c r="F5" s="29">
        <v>94.9</v>
      </c>
      <c r="G5" s="25">
        <v>10.84</v>
      </c>
      <c r="H5" s="105">
        <v>25040006</v>
      </c>
    </row>
    <row r="6" ht="16.5" spans="1:8">
      <c r="A6" s="30" t="s">
        <v>1419</v>
      </c>
      <c r="B6" s="24">
        <v>495.8</v>
      </c>
      <c r="C6" s="28">
        <v>119.1</v>
      </c>
      <c r="D6" s="25">
        <v>2.87</v>
      </c>
      <c r="E6" s="29">
        <v>75.7</v>
      </c>
      <c r="F6" s="29">
        <v>94.6</v>
      </c>
      <c r="G6" s="25">
        <v>12.07</v>
      </c>
      <c r="H6" s="105">
        <v>25040157</v>
      </c>
    </row>
    <row r="7" ht="16.5" spans="1:8">
      <c r="A7" s="30" t="s">
        <v>1420</v>
      </c>
      <c r="B7" s="24">
        <v>267.4</v>
      </c>
      <c r="C7" s="28">
        <v>233.3</v>
      </c>
      <c r="D7" s="25">
        <v>4.29</v>
      </c>
      <c r="E7" s="29">
        <v>90.9</v>
      </c>
      <c r="F7" s="29">
        <v>98.8</v>
      </c>
      <c r="G7" s="25">
        <v>11.44</v>
      </c>
      <c r="H7" s="105">
        <v>25040184</v>
      </c>
    </row>
    <row r="8" ht="16.5" spans="1:8">
      <c r="A8" s="30" t="s">
        <v>1053</v>
      </c>
      <c r="B8" s="24">
        <v>502.8</v>
      </c>
      <c r="C8" s="28">
        <v>200.7</v>
      </c>
      <c r="D8" s="25">
        <v>5.02</v>
      </c>
      <c r="E8" s="29">
        <v>84.8</v>
      </c>
      <c r="F8" s="29">
        <v>96.9</v>
      </c>
      <c r="G8" s="25">
        <v>11.52</v>
      </c>
      <c r="H8" s="105">
        <v>25040187</v>
      </c>
    </row>
    <row r="9" ht="16.5" spans="1:8">
      <c r="A9" s="30" t="s">
        <v>1421</v>
      </c>
      <c r="B9" s="24">
        <v>468</v>
      </c>
      <c r="C9" s="28">
        <v>229.7</v>
      </c>
      <c r="D9" s="25">
        <v>4.32</v>
      </c>
      <c r="E9" s="29">
        <v>89.7</v>
      </c>
      <c r="F9" s="29">
        <v>98.4</v>
      </c>
      <c r="G9" s="25">
        <v>12.06</v>
      </c>
      <c r="H9" s="105">
        <v>25040202</v>
      </c>
    </row>
    <row r="10" ht="16.5" spans="1:8">
      <c r="A10" s="30" t="s">
        <v>1422</v>
      </c>
      <c r="B10" s="24">
        <v>491.4</v>
      </c>
      <c r="C10" s="28">
        <v>236.1</v>
      </c>
      <c r="D10" s="25">
        <v>4.29</v>
      </c>
      <c r="E10" s="29">
        <v>88.5</v>
      </c>
      <c r="F10" s="29">
        <v>98.8</v>
      </c>
      <c r="G10" s="25">
        <v>10.34</v>
      </c>
      <c r="H10" s="105">
        <v>25040554</v>
      </c>
    </row>
    <row r="11" ht="16.5" spans="1:8">
      <c r="A11" s="30" t="s">
        <v>1423</v>
      </c>
      <c r="B11" s="24">
        <v>226</v>
      </c>
      <c r="C11" s="28">
        <v>220.5</v>
      </c>
      <c r="D11" s="25">
        <v>4.72</v>
      </c>
      <c r="E11" s="29">
        <v>86.6</v>
      </c>
      <c r="F11" s="29">
        <v>98</v>
      </c>
      <c r="G11" s="25">
        <v>11.15</v>
      </c>
      <c r="H11" s="105">
        <v>25040558</v>
      </c>
    </row>
    <row r="12" ht="16.5" spans="1:8">
      <c r="A12" s="30" t="s">
        <v>1424</v>
      </c>
      <c r="B12" s="24">
        <v>372.6</v>
      </c>
      <c r="C12" s="28">
        <v>161.6</v>
      </c>
      <c r="D12" s="25">
        <v>4.49</v>
      </c>
      <c r="E12" s="29">
        <v>77</v>
      </c>
      <c r="F12" s="29">
        <v>93.6</v>
      </c>
      <c r="G12" s="25">
        <v>11.8</v>
      </c>
      <c r="H12" s="105">
        <v>25060115</v>
      </c>
    </row>
    <row r="13" ht="16.5" spans="1:8">
      <c r="A13" s="30" t="s">
        <v>1425</v>
      </c>
      <c r="B13" s="24">
        <v>442.4</v>
      </c>
      <c r="C13" s="28">
        <v>115.3</v>
      </c>
      <c r="D13" s="25">
        <v>3.15</v>
      </c>
      <c r="E13" s="29">
        <v>83.3</v>
      </c>
      <c r="F13" s="29">
        <v>96.2</v>
      </c>
      <c r="G13" s="25">
        <v>12.36</v>
      </c>
      <c r="H13" s="105">
        <v>25060184</v>
      </c>
    </row>
    <row r="14" ht="16.5" spans="1:8">
      <c r="A14" s="30" t="s">
        <v>1426</v>
      </c>
      <c r="B14" s="24">
        <v>224</v>
      </c>
      <c r="C14" s="28">
        <v>245.6</v>
      </c>
      <c r="D14" s="25">
        <v>3.79</v>
      </c>
      <c r="E14" s="29">
        <v>90.4</v>
      </c>
      <c r="F14" s="29">
        <v>98.3</v>
      </c>
      <c r="G14" s="25">
        <v>11.35</v>
      </c>
      <c r="H14" s="105">
        <v>25060189</v>
      </c>
    </row>
    <row r="15" ht="16.5" spans="1:8">
      <c r="A15" s="30" t="s">
        <v>1427</v>
      </c>
      <c r="B15" s="24">
        <v>459.8</v>
      </c>
      <c r="C15" s="28">
        <v>240.9</v>
      </c>
      <c r="D15" s="25">
        <v>3.94</v>
      </c>
      <c r="E15" s="29">
        <v>86.1</v>
      </c>
      <c r="F15" s="29">
        <v>96.3</v>
      </c>
      <c r="G15" s="25">
        <v>10.73</v>
      </c>
      <c r="H15" s="105">
        <v>25060193</v>
      </c>
    </row>
    <row r="16" ht="16.5" spans="1:8">
      <c r="A16" s="30" t="s">
        <v>1428</v>
      </c>
      <c r="B16" s="24">
        <v>770.8</v>
      </c>
      <c r="C16" s="28">
        <v>107.7</v>
      </c>
      <c r="D16" s="25">
        <v>3.03</v>
      </c>
      <c r="E16" s="29">
        <v>80.4</v>
      </c>
      <c r="F16" s="29">
        <v>96.4</v>
      </c>
      <c r="G16" s="25">
        <v>11.98</v>
      </c>
      <c r="H16" s="105">
        <v>25060201</v>
      </c>
    </row>
    <row r="17" ht="16.5" spans="1:8">
      <c r="A17" s="30" t="s">
        <v>1429</v>
      </c>
      <c r="B17" s="24">
        <v>433.6</v>
      </c>
      <c r="C17" s="28">
        <v>163.8</v>
      </c>
      <c r="D17" s="25">
        <v>4.23</v>
      </c>
      <c r="E17" s="29">
        <v>76</v>
      </c>
      <c r="F17" s="29">
        <v>93.6</v>
      </c>
      <c r="G17" s="25">
        <v>11.08</v>
      </c>
      <c r="H17" s="105">
        <v>25060217</v>
      </c>
    </row>
    <row r="18" ht="16.5" spans="1:8">
      <c r="A18" s="30" t="s">
        <v>1430</v>
      </c>
      <c r="B18" s="24">
        <v>764.4</v>
      </c>
      <c r="C18" s="28">
        <v>119.1</v>
      </c>
      <c r="D18" s="25">
        <v>3.18</v>
      </c>
      <c r="E18" s="29">
        <v>78.8</v>
      </c>
      <c r="F18" s="29">
        <v>95.8</v>
      </c>
      <c r="G18" s="25">
        <v>12.34</v>
      </c>
      <c r="H18" s="105">
        <v>25060221</v>
      </c>
    </row>
    <row r="19" ht="16.5" spans="1:8">
      <c r="A19" s="30" t="s">
        <v>1431</v>
      </c>
      <c r="B19" s="24">
        <v>822</v>
      </c>
      <c r="C19" s="28">
        <v>125.1</v>
      </c>
      <c r="D19" s="25">
        <v>3.18</v>
      </c>
      <c r="E19" s="29">
        <v>79</v>
      </c>
      <c r="F19" s="29">
        <v>95.5</v>
      </c>
      <c r="G19" s="25">
        <v>12.08</v>
      </c>
      <c r="H19" s="105">
        <v>25060238</v>
      </c>
    </row>
    <row r="20" ht="16.5" spans="1:8">
      <c r="A20" s="30" t="s">
        <v>1432</v>
      </c>
      <c r="B20" s="24">
        <v>242.6</v>
      </c>
      <c r="C20" s="28">
        <v>143</v>
      </c>
      <c r="D20" s="25">
        <v>3.4</v>
      </c>
      <c r="E20" s="29">
        <v>77.7</v>
      </c>
      <c r="F20" s="29">
        <v>94.6</v>
      </c>
      <c r="G20" s="25">
        <v>10.86</v>
      </c>
      <c r="H20" s="105">
        <v>25060240</v>
      </c>
    </row>
    <row r="21" ht="16.5" spans="1:8">
      <c r="A21" s="30" t="s">
        <v>1433</v>
      </c>
      <c r="B21" s="24">
        <v>802.4</v>
      </c>
      <c r="C21" s="28">
        <v>149.5</v>
      </c>
      <c r="D21" s="25">
        <v>3.65</v>
      </c>
      <c r="E21" s="29">
        <v>79.4</v>
      </c>
      <c r="F21" s="29">
        <v>94.8</v>
      </c>
      <c r="G21" s="25">
        <v>11.28</v>
      </c>
      <c r="H21" s="105">
        <v>25060249</v>
      </c>
    </row>
    <row r="22" ht="16.5" spans="1:8">
      <c r="A22" s="30" t="s">
        <v>1434</v>
      </c>
      <c r="B22" s="24">
        <v>299.2</v>
      </c>
      <c r="C22" s="28">
        <v>144.5</v>
      </c>
      <c r="D22" s="25">
        <v>3.53</v>
      </c>
      <c r="E22" s="29">
        <v>79.4</v>
      </c>
      <c r="F22" s="29">
        <v>94.9</v>
      </c>
      <c r="G22" s="25">
        <v>11.61</v>
      </c>
      <c r="H22" s="105">
        <v>25060250</v>
      </c>
    </row>
    <row r="23" ht="16.5" spans="1:8">
      <c r="A23" s="23" t="s">
        <v>1435</v>
      </c>
      <c r="B23" s="14">
        <v>324.8</v>
      </c>
      <c r="C23" s="15">
        <v>212.8</v>
      </c>
      <c r="D23" s="16">
        <v>4.41</v>
      </c>
      <c r="E23" s="17">
        <v>88.5</v>
      </c>
      <c r="F23" s="17">
        <v>98.2</v>
      </c>
      <c r="G23" s="16">
        <v>12.4</v>
      </c>
      <c r="H23" s="14">
        <v>25050078</v>
      </c>
    </row>
    <row r="24" ht="16.5" spans="1:8">
      <c r="A24" s="23" t="s">
        <v>1436</v>
      </c>
      <c r="B24" s="14">
        <v>275.8</v>
      </c>
      <c r="C24" s="15">
        <v>209.6</v>
      </c>
      <c r="D24" s="16">
        <v>5.66</v>
      </c>
      <c r="E24" s="17">
        <v>77.7</v>
      </c>
      <c r="F24" s="17">
        <v>93.2</v>
      </c>
      <c r="G24" s="16">
        <v>11.63</v>
      </c>
      <c r="H24" s="14">
        <v>25060215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7 B3:C6 B8:C24"/>
  </dataValidations>
  <pageMargins left="0.75" right="0.75" top="1" bottom="1" header="0.5" footer="0.5"/>
  <pageSetup paperSize="9" orientation="portrait"/>
  <headerFooter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N17" sqref="N17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701</v>
      </c>
      <c r="B1" s="2">
        <f>SUM(B3:B30)</f>
        <v>10030.4</v>
      </c>
      <c r="C1" s="3" cm="1">
        <f t="array" ref="C1">SUMPRODUCT(C3:C30*B3:B30)/B1</f>
        <v>149.530726591163</v>
      </c>
      <c r="D1" s="4" cm="1">
        <f t="array" ref="D1">SUMPRODUCT(B3:B30*D3:D30)/B1</f>
        <v>3.71008135268783</v>
      </c>
      <c r="E1" s="3" cm="1">
        <f t="array" ref="E1">SUMPRODUCT(B3:B30*E3:E30)/B1</f>
        <v>76.1318272451747</v>
      </c>
      <c r="F1" s="3" cm="1">
        <f t="array" ref="F1">SUMPRODUCT(B3:B30*F3:F30)/B1</f>
        <v>93.2632557026639</v>
      </c>
    </row>
    <row r="2" ht="16.5" spans="1:7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1437</v>
      </c>
      <c r="B3" s="9">
        <v>847.4</v>
      </c>
      <c r="C3" s="10">
        <v>160.3</v>
      </c>
      <c r="D3" s="11">
        <v>4.34</v>
      </c>
      <c r="E3" s="12">
        <v>75.3</v>
      </c>
      <c r="F3" s="12">
        <v>92.6</v>
      </c>
      <c r="G3" s="24">
        <v>25060235</v>
      </c>
    </row>
    <row r="4" ht="16.5" spans="1:7">
      <c r="A4" s="39" t="s">
        <v>1438</v>
      </c>
      <c r="B4" s="9">
        <v>484.4</v>
      </c>
      <c r="C4" s="10">
        <v>153.9</v>
      </c>
      <c r="D4" s="11">
        <v>4.15</v>
      </c>
      <c r="E4" s="12">
        <v>75.6</v>
      </c>
      <c r="F4" s="12">
        <v>92.6</v>
      </c>
      <c r="G4" s="24">
        <v>25060236</v>
      </c>
    </row>
    <row r="5" ht="16.5" spans="1:7">
      <c r="A5" s="39" t="s">
        <v>1439</v>
      </c>
      <c r="B5" s="9">
        <v>713.4</v>
      </c>
      <c r="C5" s="10">
        <v>257.6</v>
      </c>
      <c r="D5" s="11">
        <v>5.3</v>
      </c>
      <c r="E5" s="12">
        <v>88.2</v>
      </c>
      <c r="F5" s="12">
        <v>97.6</v>
      </c>
      <c r="G5" s="24">
        <v>25030097</v>
      </c>
    </row>
    <row r="6" ht="16.5" spans="1:7">
      <c r="A6" s="75" t="s">
        <v>1440</v>
      </c>
      <c r="B6" s="9">
        <v>524.4</v>
      </c>
      <c r="C6" s="10">
        <v>112.4</v>
      </c>
      <c r="D6" s="11">
        <v>3.06</v>
      </c>
      <c r="E6" s="12">
        <v>66</v>
      </c>
      <c r="F6" s="12">
        <v>86.8</v>
      </c>
      <c r="G6" s="24">
        <v>24120614</v>
      </c>
    </row>
    <row r="7" ht="16.5" spans="1:7">
      <c r="A7" s="39" t="s">
        <v>1441</v>
      </c>
      <c r="B7" s="9">
        <v>387.4</v>
      </c>
      <c r="C7" s="10">
        <v>127.9</v>
      </c>
      <c r="D7" s="11">
        <v>3.28</v>
      </c>
      <c r="E7" s="12">
        <v>64.2</v>
      </c>
      <c r="F7" s="12">
        <v>86.8</v>
      </c>
      <c r="G7" s="24">
        <v>25020055</v>
      </c>
    </row>
    <row r="8" ht="16.5" spans="1:7">
      <c r="A8" s="39" t="s">
        <v>1442</v>
      </c>
      <c r="B8" s="9">
        <v>317.8</v>
      </c>
      <c r="C8" s="10">
        <v>235.1</v>
      </c>
      <c r="D8" s="11">
        <v>5.22</v>
      </c>
      <c r="E8" s="12">
        <v>85.2</v>
      </c>
      <c r="F8" s="12">
        <v>96.5</v>
      </c>
      <c r="G8" s="24">
        <v>25060231</v>
      </c>
    </row>
    <row r="9" ht="16.5" spans="1:7">
      <c r="A9" s="39" t="s">
        <v>1443</v>
      </c>
      <c r="B9" s="9">
        <v>350.8</v>
      </c>
      <c r="C9" s="10">
        <v>113.1</v>
      </c>
      <c r="D9" s="11">
        <v>2.9</v>
      </c>
      <c r="E9" s="12">
        <v>60.8</v>
      </c>
      <c r="F9" s="12">
        <v>83.7</v>
      </c>
      <c r="G9" s="24">
        <v>25020056</v>
      </c>
    </row>
    <row r="10" ht="16.5" spans="1:7">
      <c r="A10" s="39" t="s">
        <v>1444</v>
      </c>
      <c r="B10" s="9">
        <v>524.8</v>
      </c>
      <c r="C10" s="10">
        <v>111.7</v>
      </c>
      <c r="D10" s="11">
        <v>2.93</v>
      </c>
      <c r="E10" s="12">
        <v>70.9</v>
      </c>
      <c r="F10" s="12">
        <v>90.8</v>
      </c>
      <c r="G10" s="24">
        <v>25020057</v>
      </c>
    </row>
    <row r="11" ht="16.5" spans="1:7">
      <c r="A11" s="39" t="s">
        <v>1445</v>
      </c>
      <c r="B11" s="9">
        <v>377.4</v>
      </c>
      <c r="C11" s="10">
        <v>119.2</v>
      </c>
      <c r="D11" s="11">
        <v>3.15</v>
      </c>
      <c r="E11" s="12">
        <v>67.3</v>
      </c>
      <c r="F11" s="12">
        <v>88.9</v>
      </c>
      <c r="G11" s="24">
        <v>25020062</v>
      </c>
    </row>
    <row r="12" ht="16.5" spans="1:7">
      <c r="A12" s="39" t="s">
        <v>1446</v>
      </c>
      <c r="B12" s="9">
        <v>734</v>
      </c>
      <c r="C12" s="10">
        <v>107.5</v>
      </c>
      <c r="D12" s="11">
        <v>2.96</v>
      </c>
      <c r="E12" s="12">
        <v>76.2</v>
      </c>
      <c r="F12" s="12">
        <v>94.8</v>
      </c>
      <c r="G12" s="24">
        <v>25060222</v>
      </c>
    </row>
    <row r="13" ht="16.5" spans="1:7">
      <c r="A13" s="39" t="s">
        <v>1447</v>
      </c>
      <c r="B13" s="9">
        <v>671.2</v>
      </c>
      <c r="C13" s="10">
        <v>254.8</v>
      </c>
      <c r="D13" s="11">
        <v>5.49</v>
      </c>
      <c r="E13" s="12">
        <v>85.5</v>
      </c>
      <c r="F13" s="12">
        <v>96.9</v>
      </c>
      <c r="G13" s="24">
        <v>25030098</v>
      </c>
    </row>
    <row r="14" ht="16.5" spans="1:7">
      <c r="A14" s="39" t="s">
        <v>1448</v>
      </c>
      <c r="B14" s="9">
        <v>645.6</v>
      </c>
      <c r="C14" s="10">
        <v>107.3</v>
      </c>
      <c r="D14" s="11">
        <v>2.96</v>
      </c>
      <c r="E14" s="12">
        <v>76.8</v>
      </c>
      <c r="F14" s="12">
        <v>95.2</v>
      </c>
      <c r="G14" s="24">
        <v>25060223</v>
      </c>
    </row>
    <row r="15" ht="16.5" spans="1:7">
      <c r="A15" s="75" t="s">
        <v>1449</v>
      </c>
      <c r="B15" s="9">
        <v>517.2</v>
      </c>
      <c r="C15" s="10">
        <v>112.1</v>
      </c>
      <c r="D15" s="11">
        <v>2.74</v>
      </c>
      <c r="E15" s="12">
        <v>80.5</v>
      </c>
      <c r="F15" s="12">
        <v>96.4</v>
      </c>
      <c r="G15" s="24">
        <v>25040196</v>
      </c>
    </row>
    <row r="16" ht="16.5" spans="1:7">
      <c r="A16" s="39" t="s">
        <v>1450</v>
      </c>
      <c r="B16" s="9">
        <v>433.2</v>
      </c>
      <c r="C16" s="10">
        <v>101.7</v>
      </c>
      <c r="D16" s="11">
        <v>2.7</v>
      </c>
      <c r="E16" s="12">
        <v>78.4</v>
      </c>
      <c r="F16" s="12">
        <v>95.3</v>
      </c>
      <c r="G16" s="24">
        <v>25040388</v>
      </c>
    </row>
    <row r="17" ht="16.5" spans="1:7">
      <c r="A17" s="39" t="s">
        <v>1451</v>
      </c>
      <c r="B17" s="9">
        <v>468.4</v>
      </c>
      <c r="C17" s="10">
        <v>233.4</v>
      </c>
      <c r="D17" s="11">
        <v>5.44</v>
      </c>
      <c r="E17" s="12">
        <v>76.8</v>
      </c>
      <c r="F17" s="12">
        <v>93.3</v>
      </c>
      <c r="G17" s="24">
        <v>25060248</v>
      </c>
    </row>
    <row r="18" ht="16.5" spans="1:7">
      <c r="A18" s="39" t="s">
        <v>1452</v>
      </c>
      <c r="B18" s="9">
        <v>492.2</v>
      </c>
      <c r="C18" s="10">
        <v>117.7</v>
      </c>
      <c r="D18" s="11">
        <v>2.99</v>
      </c>
      <c r="E18" s="12">
        <v>75.5</v>
      </c>
      <c r="F18" s="12">
        <v>93.4</v>
      </c>
      <c r="G18" s="24">
        <v>25060120</v>
      </c>
    </row>
    <row r="19" ht="16.5" spans="1:7">
      <c r="A19" s="39" t="s">
        <v>1453</v>
      </c>
      <c r="B19" s="9">
        <v>421.6</v>
      </c>
      <c r="C19" s="10">
        <v>139.5</v>
      </c>
      <c r="D19" s="11">
        <v>3.65</v>
      </c>
      <c r="E19" s="12">
        <v>77.3</v>
      </c>
      <c r="F19" s="12">
        <v>94.4</v>
      </c>
      <c r="G19" s="24">
        <v>25060218</v>
      </c>
    </row>
    <row r="20" ht="16.5" spans="1:7">
      <c r="A20" s="39" t="s">
        <v>1454</v>
      </c>
      <c r="B20" s="9">
        <v>379.8</v>
      </c>
      <c r="C20" s="10">
        <v>123.8</v>
      </c>
      <c r="D20" s="11">
        <v>3.28</v>
      </c>
      <c r="E20" s="12">
        <v>78.5</v>
      </c>
      <c r="F20" s="12">
        <v>95.4</v>
      </c>
      <c r="G20" s="24">
        <v>25060219</v>
      </c>
    </row>
    <row r="21" ht="16.5" spans="1:7">
      <c r="A21" s="39" t="s">
        <v>1455</v>
      </c>
      <c r="B21" s="9">
        <v>739.4</v>
      </c>
      <c r="C21" s="10">
        <v>114.8</v>
      </c>
      <c r="D21" s="11">
        <v>3.12</v>
      </c>
      <c r="E21" s="12">
        <v>75.4</v>
      </c>
      <c r="F21" s="12">
        <v>93.6</v>
      </c>
      <c r="G21" s="24">
        <v>25050145</v>
      </c>
    </row>
  </sheetData>
  <conditionalFormatting sqref="A5">
    <cfRule type="duplicateValues" dxfId="0" priority="26"/>
  </conditionalFormatting>
  <conditionalFormatting sqref="A8">
    <cfRule type="duplicateValues" dxfId="0" priority="24"/>
  </conditionalFormatting>
  <conditionalFormatting sqref="A13">
    <cfRule type="duplicateValues" dxfId="0" priority="22"/>
  </conditionalFormatting>
  <conditionalFormatting sqref="A14">
    <cfRule type="duplicateValues" dxfId="0" priority="19"/>
  </conditionalFormatting>
  <conditionalFormatting sqref="A17">
    <cfRule type="duplicateValues" dxfId="0" priority="20"/>
  </conditionalFormatting>
  <conditionalFormatting sqref="A1:A2">
    <cfRule type="duplicateValues" dxfId="0" priority="28"/>
  </conditionalFormatting>
  <conditionalFormatting sqref="A3:A4">
    <cfRule type="duplicateValues" dxfId="0" priority="27"/>
  </conditionalFormatting>
  <conditionalFormatting sqref="A6:A7">
    <cfRule type="duplicateValues" dxfId="0" priority="25"/>
  </conditionalFormatting>
  <conditionalFormatting sqref="A9:A10">
    <cfRule type="duplicateValues" dxfId="0" priority="23"/>
  </conditionalFormatting>
  <conditionalFormatting sqref="A11:A12">
    <cfRule type="duplicateValues" dxfId="0" priority="21"/>
  </conditionalFormatting>
  <conditionalFormatting sqref="A15:A16">
    <cfRule type="duplicateValues" dxfId="0" priority="18"/>
  </conditionalFormatting>
  <conditionalFormatting sqref="A18:A21">
    <cfRule type="duplicateValues" dxfId="0" priority="17"/>
  </conditionalFormatting>
  <dataValidations count="1">
    <dataValidation allowBlank="1" showInputMessage="1" showErrorMessage="1" sqref="C16 B3:C15 B17:C21"/>
  </dataValidations>
  <pageMargins left="0.75" right="0.75" top="1" bottom="1" header="0.5" footer="0.5"/>
  <pageSetup paperSize="9" orientation="portrait"/>
  <headerFooter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J39" sqref="J39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702</v>
      </c>
      <c r="B1" s="2">
        <f>SUM(B3:B30)</f>
        <v>10026.8</v>
      </c>
      <c r="C1" s="3" cm="1">
        <f t="array" ref="C1">SUMPRODUCT(C3:C30*B3:B30)/B1</f>
        <v>150.128794829856</v>
      </c>
      <c r="D1" s="4" cm="1">
        <f t="array" ref="D1">SUMPRODUCT(B3:B30*D3:D30)/B1</f>
        <v>3.82276219731121</v>
      </c>
      <c r="E1" s="3" cm="1">
        <f t="array" ref="E1">SUMPRODUCT(B3:B30*E3:E30)/B1</f>
        <v>78.2217616787011</v>
      </c>
      <c r="F1" s="3" cm="1">
        <f t="array" ref="F1">SUMPRODUCT(B3:B30*F3:F30)/B1</f>
        <v>94.266005106315</v>
      </c>
      <c r="G1" s="3" cm="1">
        <f t="array" ref="G1">SUMPRODUCT(B3:B30*G3:G30)/B1</f>
        <v>11.6291987473571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1456</v>
      </c>
      <c r="B3" s="9">
        <v>774.6</v>
      </c>
      <c r="C3" s="10">
        <v>148.8</v>
      </c>
      <c r="D3" s="11">
        <v>3.82</v>
      </c>
      <c r="E3" s="12">
        <v>82.4</v>
      </c>
      <c r="F3" s="12">
        <v>96</v>
      </c>
      <c r="G3" s="11">
        <v>12.19</v>
      </c>
      <c r="H3" s="34">
        <v>25060263</v>
      </c>
    </row>
    <row r="4" ht="16.5" spans="1:8">
      <c r="A4" s="39" t="s">
        <v>1457</v>
      </c>
      <c r="B4" s="9">
        <v>499.8</v>
      </c>
      <c r="C4" s="10">
        <v>143.3</v>
      </c>
      <c r="D4" s="11">
        <v>3.77</v>
      </c>
      <c r="E4" s="12">
        <v>72.3</v>
      </c>
      <c r="F4" s="12">
        <v>92.6</v>
      </c>
      <c r="G4" s="11">
        <v>10.73</v>
      </c>
      <c r="H4" s="34">
        <v>25040250</v>
      </c>
    </row>
    <row r="5" ht="16.5" spans="1:8">
      <c r="A5" s="39" t="s">
        <v>1458</v>
      </c>
      <c r="B5" s="9">
        <v>862.4</v>
      </c>
      <c r="C5" s="10">
        <v>108</v>
      </c>
      <c r="D5" s="11">
        <v>2.57</v>
      </c>
      <c r="E5" s="12">
        <v>73.1</v>
      </c>
      <c r="F5" s="12">
        <v>92.1</v>
      </c>
      <c r="G5" s="11">
        <v>11.87</v>
      </c>
      <c r="H5" s="34">
        <v>25060267</v>
      </c>
    </row>
    <row r="6" ht="16.5" spans="1:8">
      <c r="A6" s="39" t="s">
        <v>1459</v>
      </c>
      <c r="B6" s="9">
        <v>408.4</v>
      </c>
      <c r="C6" s="10">
        <v>104</v>
      </c>
      <c r="D6" s="11">
        <v>2.57</v>
      </c>
      <c r="E6" s="12">
        <v>72.4</v>
      </c>
      <c r="F6" s="12">
        <v>91.5</v>
      </c>
      <c r="G6" s="11">
        <v>11.96</v>
      </c>
      <c r="H6" s="34">
        <v>25060268</v>
      </c>
    </row>
    <row r="7" ht="16.5" spans="1:8">
      <c r="A7" s="39" t="s">
        <v>1460</v>
      </c>
      <c r="B7" s="9">
        <v>387.6</v>
      </c>
      <c r="C7" s="10">
        <v>227.3</v>
      </c>
      <c r="D7" s="11">
        <v>4.61</v>
      </c>
      <c r="E7" s="12">
        <v>85.5</v>
      </c>
      <c r="F7" s="12">
        <v>96.6</v>
      </c>
      <c r="G7" s="11">
        <v>10.41</v>
      </c>
      <c r="H7" s="34">
        <v>25060195</v>
      </c>
    </row>
    <row r="8" ht="16.5" spans="1:8">
      <c r="A8" s="39" t="s">
        <v>1461</v>
      </c>
      <c r="B8" s="9">
        <v>497.2</v>
      </c>
      <c r="C8" s="10">
        <v>117.1</v>
      </c>
      <c r="D8" s="11">
        <v>2.9</v>
      </c>
      <c r="E8" s="12">
        <v>79.1</v>
      </c>
      <c r="F8" s="12">
        <v>95.4</v>
      </c>
      <c r="G8" s="11">
        <v>12.42</v>
      </c>
      <c r="H8" s="34">
        <v>25060252</v>
      </c>
    </row>
    <row r="9" ht="16.5" spans="1:8">
      <c r="A9" s="39" t="s">
        <v>1462</v>
      </c>
      <c r="B9" s="9">
        <v>496</v>
      </c>
      <c r="C9" s="10">
        <v>117.4</v>
      </c>
      <c r="D9" s="11">
        <v>2.93</v>
      </c>
      <c r="E9" s="12">
        <v>79.1</v>
      </c>
      <c r="F9" s="12">
        <v>95.3</v>
      </c>
      <c r="G9" s="11">
        <v>12.96</v>
      </c>
      <c r="H9" s="34">
        <v>25060253</v>
      </c>
    </row>
    <row r="10" ht="16.5" spans="1:8">
      <c r="A10" s="39" t="s">
        <v>1463</v>
      </c>
      <c r="B10" s="9">
        <v>498</v>
      </c>
      <c r="C10" s="10">
        <v>216.8</v>
      </c>
      <c r="D10" s="11">
        <v>5.52</v>
      </c>
      <c r="E10" s="12">
        <v>79.9</v>
      </c>
      <c r="F10" s="12">
        <v>94.2</v>
      </c>
      <c r="G10" s="11">
        <v>11.53</v>
      </c>
      <c r="H10" s="34">
        <v>25060213</v>
      </c>
    </row>
    <row r="11" ht="16.5" spans="1:8">
      <c r="A11" s="39" t="s">
        <v>1464</v>
      </c>
      <c r="B11" s="9">
        <v>400.6</v>
      </c>
      <c r="C11" s="10">
        <v>128.5</v>
      </c>
      <c r="D11" s="11">
        <v>3.03</v>
      </c>
      <c r="E11" s="12">
        <v>78.7</v>
      </c>
      <c r="F11" s="12">
        <v>94.7</v>
      </c>
      <c r="G11" s="11">
        <v>11.84</v>
      </c>
      <c r="H11" s="34">
        <v>25050069</v>
      </c>
    </row>
    <row r="12" ht="16.5" spans="1:8">
      <c r="A12" s="39" t="s">
        <v>1465</v>
      </c>
      <c r="B12" s="9">
        <v>317.4</v>
      </c>
      <c r="C12" s="10">
        <v>210.4</v>
      </c>
      <c r="D12" s="11">
        <v>5.66</v>
      </c>
      <c r="E12" s="12">
        <v>78.1</v>
      </c>
      <c r="F12" s="12">
        <v>93.3</v>
      </c>
      <c r="G12" s="11">
        <v>11.94</v>
      </c>
      <c r="H12" s="34">
        <v>25060214</v>
      </c>
    </row>
    <row r="13" ht="16.5" spans="1:8">
      <c r="A13" s="39" t="s">
        <v>1466</v>
      </c>
      <c r="B13" s="9">
        <v>758.6</v>
      </c>
      <c r="C13" s="10">
        <v>140.5</v>
      </c>
      <c r="D13" s="11">
        <v>3.34</v>
      </c>
      <c r="E13" s="12">
        <v>80.1</v>
      </c>
      <c r="F13" s="12">
        <v>95</v>
      </c>
      <c r="G13" s="11">
        <v>11.5</v>
      </c>
      <c r="H13" s="34">
        <v>25060265</v>
      </c>
    </row>
    <row r="14" ht="16.5" spans="1:8">
      <c r="A14" s="39" t="s">
        <v>1467</v>
      </c>
      <c r="B14" s="9">
        <v>496.6</v>
      </c>
      <c r="C14" s="10">
        <v>144.5</v>
      </c>
      <c r="D14" s="11">
        <v>3.49</v>
      </c>
      <c r="E14" s="12">
        <v>79.3</v>
      </c>
      <c r="F14" s="12">
        <v>94.8</v>
      </c>
      <c r="G14" s="11">
        <v>11.63</v>
      </c>
      <c r="H14" s="34">
        <v>25060251</v>
      </c>
    </row>
    <row r="15" ht="16.5" spans="1:8">
      <c r="A15" s="39" t="s">
        <v>1468</v>
      </c>
      <c r="B15" s="9">
        <v>460.2</v>
      </c>
      <c r="C15" s="10">
        <v>208.7</v>
      </c>
      <c r="D15" s="11">
        <v>5.49</v>
      </c>
      <c r="E15" s="12">
        <v>77.3</v>
      </c>
      <c r="F15" s="12">
        <v>93</v>
      </c>
      <c r="G15" s="11">
        <v>11.59</v>
      </c>
      <c r="H15" s="34">
        <v>25060216</v>
      </c>
    </row>
    <row r="16" ht="16.5" spans="1:8">
      <c r="A16" s="39" t="s">
        <v>1469</v>
      </c>
      <c r="B16" s="9">
        <v>527.8</v>
      </c>
      <c r="C16" s="10">
        <v>138.2</v>
      </c>
      <c r="D16" s="11">
        <v>3.61</v>
      </c>
      <c r="E16" s="12">
        <v>72.1</v>
      </c>
      <c r="F16" s="12">
        <v>92.4</v>
      </c>
      <c r="G16" s="11">
        <v>10.59</v>
      </c>
      <c r="H16" s="34">
        <v>25040251</v>
      </c>
    </row>
    <row r="17" ht="16.5" spans="1:8">
      <c r="A17" s="39" t="s">
        <v>1470</v>
      </c>
      <c r="B17" s="9">
        <v>489.8</v>
      </c>
      <c r="C17" s="10">
        <v>205.2</v>
      </c>
      <c r="D17" s="11">
        <v>5.81</v>
      </c>
      <c r="E17" s="12">
        <v>78.7</v>
      </c>
      <c r="F17" s="12">
        <v>93.8</v>
      </c>
      <c r="G17" s="11">
        <v>10.69</v>
      </c>
      <c r="H17" s="34">
        <v>25040500</v>
      </c>
    </row>
    <row r="18" ht="16.5" spans="1:8">
      <c r="A18" s="39" t="s">
        <v>1471</v>
      </c>
      <c r="B18" s="9">
        <v>504.6</v>
      </c>
      <c r="C18" s="10">
        <v>201.7</v>
      </c>
      <c r="D18" s="11">
        <v>6.09</v>
      </c>
      <c r="E18" s="12">
        <v>76</v>
      </c>
      <c r="F18" s="12">
        <v>92.7</v>
      </c>
      <c r="G18" s="11">
        <v>10.82</v>
      </c>
      <c r="H18" s="34">
        <v>25040501</v>
      </c>
    </row>
    <row r="19" ht="16.5" spans="1:8">
      <c r="A19" s="39" t="s">
        <v>1472</v>
      </c>
      <c r="B19" s="9">
        <v>473.6</v>
      </c>
      <c r="C19" s="10">
        <v>109.8</v>
      </c>
      <c r="D19" s="11">
        <v>2.77</v>
      </c>
      <c r="E19" s="12">
        <v>79.2</v>
      </c>
      <c r="F19" s="12">
        <v>95.5</v>
      </c>
      <c r="G19" s="11">
        <v>13.63</v>
      </c>
      <c r="H19" s="34">
        <v>25060254</v>
      </c>
    </row>
    <row r="20" ht="16.5" spans="1:8">
      <c r="A20" s="23" t="s">
        <v>1473</v>
      </c>
      <c r="B20" s="14">
        <v>307.8</v>
      </c>
      <c r="C20" s="15">
        <v>117.4</v>
      </c>
      <c r="D20" s="16">
        <v>3.03</v>
      </c>
      <c r="E20" s="17">
        <v>81.7</v>
      </c>
      <c r="F20" s="17">
        <v>96.1</v>
      </c>
      <c r="G20" s="16">
        <v>11.69</v>
      </c>
      <c r="H20" s="14">
        <v>25060186</v>
      </c>
    </row>
    <row r="21" ht="16.5" spans="1:8">
      <c r="A21" s="23" t="s">
        <v>1474</v>
      </c>
      <c r="B21" s="14">
        <v>474.6</v>
      </c>
      <c r="C21" s="15">
        <v>111.4</v>
      </c>
      <c r="D21" s="16">
        <v>2.9</v>
      </c>
      <c r="E21" s="17">
        <v>79.7</v>
      </c>
      <c r="F21" s="17">
        <v>95.3</v>
      </c>
      <c r="G21" s="16">
        <v>10.84</v>
      </c>
      <c r="H21" s="14">
        <v>25060187</v>
      </c>
    </row>
    <row r="22" ht="16.5" spans="1:8">
      <c r="A22" s="23" t="s">
        <v>1475</v>
      </c>
      <c r="B22" s="14">
        <v>391.2</v>
      </c>
      <c r="C22" s="15">
        <v>157</v>
      </c>
      <c r="D22" s="16">
        <v>3.94</v>
      </c>
      <c r="E22" s="17">
        <v>83.8</v>
      </c>
      <c r="F22" s="17">
        <v>96.3</v>
      </c>
      <c r="G22" s="16">
        <v>11.37</v>
      </c>
      <c r="H22" s="14">
        <v>25060165</v>
      </c>
    </row>
  </sheetData>
  <conditionalFormatting sqref="A1:A10">
    <cfRule type="duplicateValues" dxfId="0" priority="3"/>
  </conditionalFormatting>
  <conditionalFormatting sqref="A11:A17">
    <cfRule type="duplicateValues" dxfId="0" priority="2"/>
  </conditionalFormatting>
  <conditionalFormatting sqref="A18:A19">
    <cfRule type="duplicateValues" dxfId="0" priority="1"/>
  </conditionalFormatting>
  <dataValidations count="1">
    <dataValidation allowBlank="1" showInputMessage="1" showErrorMessage="1" sqref="B3:C3 B4:B16 B19:B22 C4:C22"/>
  </dataValidations>
  <pageMargins left="0.75" right="0.75" top="1" bottom="1" header="0.5" footer="0.5"/>
  <pageSetup paperSize="9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M26" sqref="M26:M27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703</v>
      </c>
      <c r="B1" s="2">
        <f>SUM(B3:B30)</f>
        <v>10105.4</v>
      </c>
      <c r="C1" s="3" cm="1">
        <f t="array" ref="C1">SUMPRODUCT(C3:C30*B3:B30)/B1</f>
        <v>170.550727333901</v>
      </c>
      <c r="D1" s="4" cm="1">
        <f t="array" ref="D1">SUMPRODUCT(B3:B30*D3:D30)/B1</f>
        <v>3.91697963465078</v>
      </c>
      <c r="E1" s="3" cm="1">
        <f t="array" ref="E1">SUMPRODUCT(B3:B30*E3:E30)/B1</f>
        <v>78.9446058542957</v>
      </c>
      <c r="F1" s="3" cm="1">
        <f t="array" ref="F1">SUMPRODUCT(B3:B30*F3:F30)/B1</f>
        <v>94.4468600946029</v>
      </c>
      <c r="G1" s="3" cm="1">
        <f t="array" ref="G1">SUMPRODUCT(B3:B30*G3:G30)/B1</f>
        <v>11.5502830170008</v>
      </c>
    </row>
    <row r="2" ht="16.5" spans="1: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1476</v>
      </c>
      <c r="B3" s="9">
        <v>457.2</v>
      </c>
      <c r="C3" s="10">
        <v>166.8</v>
      </c>
      <c r="D3" s="11">
        <v>4.49</v>
      </c>
      <c r="E3" s="12">
        <v>81.5</v>
      </c>
      <c r="F3" s="12">
        <v>95.7</v>
      </c>
      <c r="G3" s="11">
        <v>11.98</v>
      </c>
      <c r="H3" s="34">
        <v>25060276</v>
      </c>
    </row>
    <row r="4" ht="16.5" spans="1:8">
      <c r="A4" s="39" t="s">
        <v>1477</v>
      </c>
      <c r="B4" s="9">
        <v>360</v>
      </c>
      <c r="C4" s="10">
        <v>163.8</v>
      </c>
      <c r="D4" s="11">
        <v>4.43</v>
      </c>
      <c r="E4" s="12">
        <v>81.4</v>
      </c>
      <c r="F4" s="12">
        <v>95.6</v>
      </c>
      <c r="G4" s="11">
        <v>12.19</v>
      </c>
      <c r="H4" s="34">
        <v>25060277</v>
      </c>
    </row>
    <row r="5" ht="16.5" spans="1:8">
      <c r="A5" s="39" t="s">
        <v>1478</v>
      </c>
      <c r="B5" s="9">
        <v>795</v>
      </c>
      <c r="C5" s="10">
        <v>124.9</v>
      </c>
      <c r="D5" s="11">
        <v>3.43</v>
      </c>
      <c r="E5" s="12">
        <v>83.3</v>
      </c>
      <c r="F5" s="12">
        <v>97</v>
      </c>
      <c r="G5" s="11">
        <v>12.49</v>
      </c>
      <c r="H5" s="34">
        <v>25060278</v>
      </c>
    </row>
    <row r="6" ht="16.5" spans="1:8">
      <c r="A6" s="39" t="s">
        <v>1479</v>
      </c>
      <c r="B6" s="9">
        <v>819</v>
      </c>
      <c r="C6" s="10">
        <v>268.2</v>
      </c>
      <c r="D6" s="11">
        <v>4.29</v>
      </c>
      <c r="E6" s="12">
        <v>91.6</v>
      </c>
      <c r="F6" s="12">
        <v>98.5</v>
      </c>
      <c r="G6" s="11">
        <v>11.42</v>
      </c>
      <c r="H6" s="34">
        <v>25060270</v>
      </c>
    </row>
    <row r="7" ht="16.5" spans="1:8">
      <c r="A7" s="39" t="s">
        <v>1480</v>
      </c>
      <c r="B7" s="9">
        <v>671.8</v>
      </c>
      <c r="C7" s="10">
        <v>120.9</v>
      </c>
      <c r="D7" s="11">
        <v>3.31</v>
      </c>
      <c r="E7" s="12">
        <v>83.2</v>
      </c>
      <c r="F7" s="12">
        <v>96.9</v>
      </c>
      <c r="G7" s="11">
        <v>12.51</v>
      </c>
      <c r="H7" s="34">
        <v>25060279</v>
      </c>
    </row>
    <row r="8" ht="16.5" spans="1:8">
      <c r="A8" s="39" t="s">
        <v>1481</v>
      </c>
      <c r="B8" s="9">
        <v>314.2</v>
      </c>
      <c r="C8" s="10">
        <v>269.2</v>
      </c>
      <c r="D8" s="11">
        <v>4.08</v>
      </c>
      <c r="E8" s="12">
        <v>91.5</v>
      </c>
      <c r="F8" s="12">
        <v>98.6</v>
      </c>
      <c r="G8" s="11">
        <v>11.56</v>
      </c>
      <c r="H8" s="34">
        <v>25060269</v>
      </c>
    </row>
    <row r="9" ht="16.5" spans="1:8">
      <c r="A9" s="39" t="s">
        <v>1482</v>
      </c>
      <c r="B9" s="9">
        <v>794.4</v>
      </c>
      <c r="C9" s="10">
        <v>140.5</v>
      </c>
      <c r="D9" s="11">
        <v>3.65</v>
      </c>
      <c r="E9" s="12">
        <v>81.4</v>
      </c>
      <c r="F9" s="12">
        <v>96.1</v>
      </c>
      <c r="G9" s="11">
        <v>12.02</v>
      </c>
      <c r="H9" s="34">
        <v>25060149</v>
      </c>
    </row>
    <row r="10" ht="16.5" spans="1:8">
      <c r="A10" s="39" t="s">
        <v>1483</v>
      </c>
      <c r="B10" s="9">
        <v>206.8</v>
      </c>
      <c r="C10" s="10">
        <v>142.8</v>
      </c>
      <c r="D10" s="11">
        <v>3.67</v>
      </c>
      <c r="E10" s="12">
        <v>80.8</v>
      </c>
      <c r="F10" s="12">
        <v>95.8</v>
      </c>
      <c r="G10" s="11">
        <v>11.42</v>
      </c>
      <c r="H10" s="34">
        <v>25060150</v>
      </c>
    </row>
    <row r="11" ht="16.5" spans="1:8">
      <c r="A11" s="39" t="s">
        <v>1484</v>
      </c>
      <c r="B11" s="9">
        <v>480.6</v>
      </c>
      <c r="C11" s="10">
        <v>121.6</v>
      </c>
      <c r="D11" s="11">
        <v>3.18</v>
      </c>
      <c r="E11" s="12">
        <v>77.6</v>
      </c>
      <c r="F11" s="12">
        <v>94.8</v>
      </c>
      <c r="G11" s="11">
        <v>11</v>
      </c>
      <c r="H11" s="34">
        <v>25060153</v>
      </c>
    </row>
    <row r="12" ht="16.5" spans="1:8">
      <c r="A12" s="39" t="s">
        <v>1485</v>
      </c>
      <c r="B12" s="9">
        <v>647.2</v>
      </c>
      <c r="C12" s="10">
        <v>249.8</v>
      </c>
      <c r="D12" s="11">
        <v>4.61</v>
      </c>
      <c r="E12" s="12">
        <v>90.5</v>
      </c>
      <c r="F12" s="12">
        <v>98.2</v>
      </c>
      <c r="G12" s="11">
        <v>11.27</v>
      </c>
      <c r="H12" s="34">
        <v>25060271</v>
      </c>
    </row>
    <row r="13" ht="16.5" spans="1:8">
      <c r="A13" s="39" t="s">
        <v>1486</v>
      </c>
      <c r="B13" s="9">
        <v>254.2</v>
      </c>
      <c r="C13" s="10">
        <v>111.6</v>
      </c>
      <c r="D13" s="11">
        <v>2.9</v>
      </c>
      <c r="E13" s="12">
        <v>74.7</v>
      </c>
      <c r="F13" s="12">
        <v>93.7</v>
      </c>
      <c r="G13" s="11">
        <v>10.14</v>
      </c>
      <c r="H13" s="34">
        <v>25060154</v>
      </c>
    </row>
    <row r="14" ht="16.5" spans="1:8">
      <c r="A14" s="39" t="s">
        <v>1487</v>
      </c>
      <c r="B14" s="9">
        <v>701.2</v>
      </c>
      <c r="C14" s="10">
        <v>113.5</v>
      </c>
      <c r="D14" s="11">
        <v>2.9</v>
      </c>
      <c r="E14" s="12">
        <v>74.6</v>
      </c>
      <c r="F14" s="12">
        <v>93.9</v>
      </c>
      <c r="G14" s="11">
        <v>9.83</v>
      </c>
      <c r="H14" s="34">
        <v>25060155</v>
      </c>
    </row>
    <row r="15" ht="16.5" spans="1:8">
      <c r="A15" s="39" t="s">
        <v>1488</v>
      </c>
      <c r="B15" s="9">
        <v>478.8</v>
      </c>
      <c r="C15" s="10">
        <v>232.2</v>
      </c>
      <c r="D15" s="11">
        <v>5.79</v>
      </c>
      <c r="E15" s="12">
        <v>69.3</v>
      </c>
      <c r="F15" s="12">
        <v>89.5</v>
      </c>
      <c r="G15" s="11">
        <v>11.19</v>
      </c>
      <c r="H15" s="34">
        <v>25020220</v>
      </c>
    </row>
    <row r="16" ht="16.5" spans="1:8">
      <c r="A16" s="39" t="s">
        <v>1489</v>
      </c>
      <c r="B16" s="9">
        <v>505.8</v>
      </c>
      <c r="C16" s="10">
        <v>132.4</v>
      </c>
      <c r="D16" s="11">
        <v>3.65</v>
      </c>
      <c r="E16" s="12">
        <v>64</v>
      </c>
      <c r="F16" s="12">
        <v>88.3</v>
      </c>
      <c r="G16" s="11">
        <v>10.62</v>
      </c>
      <c r="H16" s="34">
        <v>25020226</v>
      </c>
    </row>
    <row r="17" ht="16.5" spans="1:8">
      <c r="A17" s="39" t="s">
        <v>1490</v>
      </c>
      <c r="B17" s="9">
        <v>510</v>
      </c>
      <c r="C17" s="10">
        <v>133.2</v>
      </c>
      <c r="D17" s="11">
        <v>3.58</v>
      </c>
      <c r="E17" s="12">
        <v>64.7</v>
      </c>
      <c r="F17" s="12">
        <v>88.6</v>
      </c>
      <c r="G17" s="11">
        <v>10.81</v>
      </c>
      <c r="H17" s="34">
        <v>25020227</v>
      </c>
    </row>
    <row r="18" ht="16.5" spans="1:8">
      <c r="A18" s="39" t="s">
        <v>1491</v>
      </c>
      <c r="B18" s="9">
        <v>302</v>
      </c>
      <c r="C18" s="10">
        <v>228.6</v>
      </c>
      <c r="D18" s="11">
        <v>6.58</v>
      </c>
      <c r="E18" s="12">
        <v>69.8</v>
      </c>
      <c r="F18" s="12">
        <v>89</v>
      </c>
      <c r="G18" s="11">
        <v>11.41</v>
      </c>
      <c r="H18" s="34">
        <v>25020250</v>
      </c>
    </row>
    <row r="19" ht="16.5" spans="1:8">
      <c r="A19" s="39" t="s">
        <v>1492</v>
      </c>
      <c r="B19" s="9">
        <v>503</v>
      </c>
      <c r="C19" s="10">
        <v>119.4</v>
      </c>
      <c r="D19" s="11">
        <v>3.06</v>
      </c>
      <c r="E19" s="12">
        <v>63.4</v>
      </c>
      <c r="F19" s="12">
        <v>88</v>
      </c>
      <c r="G19" s="11">
        <v>11.67</v>
      </c>
      <c r="H19" s="34">
        <v>25020283</v>
      </c>
    </row>
    <row r="20" ht="16.5" spans="1:8">
      <c r="A20" s="75" t="s">
        <v>876</v>
      </c>
      <c r="B20" s="9">
        <v>491.2</v>
      </c>
      <c r="C20" s="10">
        <v>118.7</v>
      </c>
      <c r="D20" s="11">
        <v>3.18</v>
      </c>
      <c r="E20" s="12">
        <v>64</v>
      </c>
      <c r="F20" s="12">
        <v>88.3</v>
      </c>
      <c r="G20" s="11">
        <v>13.87</v>
      </c>
      <c r="H20" s="34">
        <v>25020284</v>
      </c>
    </row>
    <row r="21" ht="16.5" spans="1:8">
      <c r="A21" s="39" t="s">
        <v>1493</v>
      </c>
      <c r="B21" s="9">
        <v>813</v>
      </c>
      <c r="C21" s="10">
        <v>247</v>
      </c>
      <c r="D21" s="11">
        <v>4.57</v>
      </c>
      <c r="E21" s="12">
        <v>90.8</v>
      </c>
      <c r="F21" s="12">
        <v>98.7</v>
      </c>
      <c r="G21" s="11">
        <v>11.32</v>
      </c>
      <c r="H21" s="34">
        <v>25060272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21:C21 C19:C20 B3:C18"/>
  </dataValidations>
  <pageMargins left="0.75" right="0.75" top="1" bottom="1" header="0.5" footer="0.5"/>
  <pageSetup paperSize="9" orientation="portrait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J1" sqref="J$1:T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704</v>
      </c>
      <c r="B1" s="2">
        <f>SUM(B3:B30)</f>
        <v>10076.8</v>
      </c>
      <c r="C1" s="3" cm="1">
        <f t="array" ref="C1">SUMPRODUCT(C3:C30*B3:B30)/B1</f>
        <v>209.589540330264</v>
      </c>
      <c r="D1" s="4" cm="1">
        <f t="array" ref="D1">SUMPRODUCT(B3:B30*D3:D30)/B1</f>
        <v>4.95851560019054</v>
      </c>
      <c r="E1" s="3" cm="1">
        <f t="array" ref="E1">SUMPRODUCT(B3:B30*E3:E30)/B1</f>
        <v>84.0013119244204</v>
      </c>
      <c r="F1" s="3" cm="1">
        <f t="array" ref="F1">SUMPRODUCT(B3:B30*F3:F30)/B1</f>
        <v>96.1120911400445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1494</v>
      </c>
      <c r="B3" s="9">
        <v>782.6</v>
      </c>
      <c r="C3" s="10">
        <v>215.4</v>
      </c>
      <c r="D3" s="11">
        <v>5.08</v>
      </c>
      <c r="E3" s="12">
        <v>88.4</v>
      </c>
      <c r="F3" s="12">
        <v>97.6</v>
      </c>
      <c r="G3" s="34">
        <v>25060161</v>
      </c>
    </row>
    <row r="4" ht="16.5" spans="1:7">
      <c r="A4" s="39" t="s">
        <v>1495</v>
      </c>
      <c r="B4" s="9">
        <v>780</v>
      </c>
      <c r="C4" s="10">
        <v>213.1</v>
      </c>
      <c r="D4" s="11">
        <v>4.69</v>
      </c>
      <c r="E4" s="12">
        <v>86.4</v>
      </c>
      <c r="F4" s="12">
        <v>97.2</v>
      </c>
      <c r="G4" s="34">
        <v>25060260</v>
      </c>
    </row>
    <row r="5" ht="16.5" spans="1:7">
      <c r="A5" s="68" t="s">
        <v>1496</v>
      </c>
      <c r="B5" s="9">
        <v>756.2</v>
      </c>
      <c r="C5" s="10">
        <v>225.5</v>
      </c>
      <c r="D5" s="11">
        <v>5.22</v>
      </c>
      <c r="E5" s="12">
        <v>86.1</v>
      </c>
      <c r="F5" s="12">
        <v>97</v>
      </c>
      <c r="G5" s="34">
        <v>25060273</v>
      </c>
    </row>
    <row r="6" ht="16.5" spans="1:7">
      <c r="A6" s="68" t="s">
        <v>1497</v>
      </c>
      <c r="B6" s="9">
        <v>689</v>
      </c>
      <c r="C6" s="10">
        <v>218</v>
      </c>
      <c r="D6" s="11">
        <v>5.08</v>
      </c>
      <c r="E6" s="12">
        <v>85.2</v>
      </c>
      <c r="F6" s="12">
        <v>96.7</v>
      </c>
      <c r="G6" s="34">
        <v>25060274</v>
      </c>
    </row>
    <row r="7" ht="16.5" spans="1:7">
      <c r="A7" s="68" t="s">
        <v>1498</v>
      </c>
      <c r="B7" s="9">
        <v>444</v>
      </c>
      <c r="C7" s="10">
        <v>192.3</v>
      </c>
      <c r="D7" s="11">
        <v>4.75</v>
      </c>
      <c r="E7" s="12">
        <v>83.9</v>
      </c>
      <c r="F7" s="12">
        <v>96.4</v>
      </c>
      <c r="G7" s="34">
        <v>25060275</v>
      </c>
    </row>
    <row r="8" ht="16.5" spans="1:7">
      <c r="A8" s="68" t="s">
        <v>1499</v>
      </c>
      <c r="B8" s="9">
        <v>691</v>
      </c>
      <c r="C8" s="10">
        <v>214.3</v>
      </c>
      <c r="D8" s="11">
        <v>5.05</v>
      </c>
      <c r="E8" s="12">
        <v>88.3</v>
      </c>
      <c r="F8" s="12">
        <v>97.5</v>
      </c>
      <c r="G8" s="34">
        <v>25060162</v>
      </c>
    </row>
    <row r="9" ht="16.5" spans="1:7">
      <c r="A9" s="68" t="s">
        <v>1500</v>
      </c>
      <c r="B9" s="9">
        <v>507.8</v>
      </c>
      <c r="C9" s="10">
        <v>215.2</v>
      </c>
      <c r="D9" s="11">
        <v>4.69</v>
      </c>
      <c r="E9" s="12">
        <v>86.6</v>
      </c>
      <c r="F9" s="12">
        <v>97.5</v>
      </c>
      <c r="G9" s="34">
        <v>25060261</v>
      </c>
    </row>
    <row r="10" ht="16.5" spans="1:7">
      <c r="A10" s="68" t="s">
        <v>1501</v>
      </c>
      <c r="B10" s="9">
        <v>707</v>
      </c>
      <c r="C10" s="10">
        <v>215.8</v>
      </c>
      <c r="D10" s="11">
        <v>4.89</v>
      </c>
      <c r="E10" s="12">
        <v>84.4</v>
      </c>
      <c r="F10" s="12">
        <v>96.2</v>
      </c>
      <c r="G10" s="34">
        <v>25060194</v>
      </c>
    </row>
    <row r="11" ht="16.5" spans="1:7">
      <c r="A11" s="68" t="s">
        <v>1502</v>
      </c>
      <c r="B11" s="9">
        <v>781.8</v>
      </c>
      <c r="C11" s="10">
        <v>175</v>
      </c>
      <c r="D11" s="11">
        <v>4.61</v>
      </c>
      <c r="E11" s="12">
        <v>81.6</v>
      </c>
      <c r="F11" s="12">
        <v>95.6</v>
      </c>
      <c r="G11" s="34">
        <v>25060197</v>
      </c>
    </row>
    <row r="12" ht="16.5" spans="1:7">
      <c r="A12" s="39" t="s">
        <v>1503</v>
      </c>
      <c r="B12" s="9">
        <v>818</v>
      </c>
      <c r="C12" s="10">
        <v>201.8</v>
      </c>
      <c r="D12" s="11">
        <v>5.05</v>
      </c>
      <c r="E12" s="12">
        <v>82.9</v>
      </c>
      <c r="F12" s="12">
        <v>95.9</v>
      </c>
      <c r="G12" s="34">
        <v>25060179</v>
      </c>
    </row>
    <row r="13" ht="16.5" spans="1:7">
      <c r="A13" s="75" t="s">
        <v>1504</v>
      </c>
      <c r="B13" s="9">
        <v>488.8</v>
      </c>
      <c r="C13" s="10">
        <v>265.8</v>
      </c>
      <c r="D13" s="11">
        <v>5.11</v>
      </c>
      <c r="E13" s="12">
        <v>87.9</v>
      </c>
      <c r="F13" s="12">
        <v>97.2</v>
      </c>
      <c r="G13" s="34">
        <v>25030299</v>
      </c>
    </row>
    <row r="14" ht="16.5" spans="1:7">
      <c r="A14" s="39" t="s">
        <v>1505</v>
      </c>
      <c r="B14" s="9">
        <v>218.8</v>
      </c>
      <c r="C14" s="10">
        <v>191.5</v>
      </c>
      <c r="D14" s="11">
        <v>4.61</v>
      </c>
      <c r="E14" s="12">
        <v>80.8</v>
      </c>
      <c r="F14" s="12">
        <v>94.7</v>
      </c>
      <c r="G14" s="34">
        <v>25060146</v>
      </c>
    </row>
    <row r="15" ht="16.5" spans="1:7">
      <c r="A15" s="39" t="s">
        <v>1506</v>
      </c>
      <c r="B15" s="9">
        <v>789</v>
      </c>
      <c r="C15" s="10">
        <v>176.4</v>
      </c>
      <c r="D15" s="11">
        <v>4.69</v>
      </c>
      <c r="E15" s="12">
        <v>78.9</v>
      </c>
      <c r="F15" s="12">
        <v>94.4</v>
      </c>
      <c r="G15" s="34">
        <v>25060147</v>
      </c>
    </row>
    <row r="16" ht="16.5" spans="1:7">
      <c r="A16" s="75" t="s">
        <v>1507</v>
      </c>
      <c r="B16" s="9">
        <v>294.8</v>
      </c>
      <c r="C16" s="10">
        <v>257.8</v>
      </c>
      <c r="D16" s="11">
        <v>5.24</v>
      </c>
      <c r="E16" s="12">
        <v>86.3</v>
      </c>
      <c r="F16" s="12">
        <v>96.4</v>
      </c>
      <c r="G16" s="34">
        <v>25030131</v>
      </c>
    </row>
    <row r="17" ht="16.5" spans="1:7">
      <c r="A17" s="75" t="s">
        <v>1508</v>
      </c>
      <c r="B17" s="9">
        <v>281.8</v>
      </c>
      <c r="C17" s="10">
        <v>179.7</v>
      </c>
      <c r="D17" s="11">
        <v>4.72</v>
      </c>
      <c r="E17" s="12">
        <v>78.6</v>
      </c>
      <c r="F17" s="12">
        <v>94.1</v>
      </c>
      <c r="G17" s="34">
        <v>25060148</v>
      </c>
    </row>
    <row r="18" ht="16.5" spans="1:7">
      <c r="A18" s="39" t="s">
        <v>1509</v>
      </c>
      <c r="B18" s="9">
        <v>377.2</v>
      </c>
      <c r="C18" s="10">
        <v>225.8</v>
      </c>
      <c r="D18" s="11">
        <v>5.6</v>
      </c>
      <c r="E18" s="12">
        <v>77.6</v>
      </c>
      <c r="F18" s="12">
        <v>92.7</v>
      </c>
      <c r="G18" s="34">
        <v>25060095</v>
      </c>
    </row>
    <row r="19" ht="16.5" spans="1:7">
      <c r="A19" s="39" t="s">
        <v>1510</v>
      </c>
      <c r="B19" s="9">
        <v>323.4</v>
      </c>
      <c r="C19" s="10">
        <v>220.1</v>
      </c>
      <c r="D19" s="11">
        <v>5.6</v>
      </c>
      <c r="E19" s="12">
        <v>76.6</v>
      </c>
      <c r="F19" s="12">
        <v>92</v>
      </c>
      <c r="G19" s="34">
        <v>25060096</v>
      </c>
    </row>
    <row r="20" ht="16.5" spans="1:7">
      <c r="A20" s="39" t="s">
        <v>1511</v>
      </c>
      <c r="B20" s="9">
        <v>345.6</v>
      </c>
      <c r="C20" s="10">
        <v>188.9</v>
      </c>
      <c r="D20" s="11">
        <v>4.94</v>
      </c>
      <c r="E20" s="12">
        <v>81.1</v>
      </c>
      <c r="F20" s="12">
        <v>95.7</v>
      </c>
      <c r="G20" s="34">
        <v>25050209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20"/>
  </dataValidations>
  <pageMargins left="0.75" right="0.75" top="1" bottom="1" header="0.5" footer="0.5"/>
  <pageSetup paperSize="9" orientation="portrait"/>
  <headerFooter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E26" sqref="E26"/>
    </sheetView>
  </sheetViews>
  <sheetFormatPr defaultColWidth="9" defaultRowHeight="13.5" outlineLevelRow="4"/>
  <cols>
    <col min="1" max="1" width="15.625" customWidth="1"/>
    <col min="7" max="7" width="9.375"/>
    <col min="10" max="10" width="15.625" customWidth="1"/>
    <col min="12" max="12" width="9.375"/>
  </cols>
  <sheetData>
    <row r="1" ht="16.5" spans="1:12">
      <c r="A1" s="116">
        <v>705</v>
      </c>
      <c r="B1" s="2">
        <f>SUM(B3:B30)</f>
        <v>60</v>
      </c>
      <c r="C1" s="3" cm="1">
        <f t="array" ref="C1">SUMPRODUCT(C3:C30*B3:B30)/B1</f>
        <v>159.966666666667</v>
      </c>
      <c r="D1" s="4" cm="1">
        <f t="array" ref="D1">SUMPRODUCT(B3:B30*D3:D30)/B1</f>
        <v>3.76</v>
      </c>
      <c r="E1" s="3" cm="1">
        <f t="array" ref="E1">SUMPRODUCT(B3:B30*E3:E30)/B1</f>
        <v>81.6666666666667</v>
      </c>
      <c r="F1" s="3" cm="1">
        <f t="array" ref="F1">SUMPRODUCT(B3:B30*F3:F30)/B1</f>
        <v>95.4333333333333</v>
      </c>
      <c r="G1" s="60"/>
      <c r="J1" s="68" t="s">
        <v>1512</v>
      </c>
      <c r="K1" s="56">
        <v>808</v>
      </c>
      <c r="L1" s="9">
        <v>25060262</v>
      </c>
    </row>
    <row r="2" ht="16.5" spans="1:12">
      <c r="A2" s="52">
        <v>150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60"/>
      <c r="J2" s="39" t="s">
        <v>1513</v>
      </c>
      <c r="K2" s="9">
        <v>479.2</v>
      </c>
      <c r="L2" s="9">
        <v>25060163</v>
      </c>
    </row>
    <row r="3" ht="16.5" spans="1:12">
      <c r="A3" s="68" t="s">
        <v>1512</v>
      </c>
      <c r="B3" s="56">
        <v>20</v>
      </c>
      <c r="C3" s="12">
        <v>156.9</v>
      </c>
      <c r="D3" s="57">
        <v>3.85</v>
      </c>
      <c r="E3" s="12">
        <v>82.4</v>
      </c>
      <c r="F3" s="12">
        <v>96.2</v>
      </c>
      <c r="G3" s="9">
        <v>25060262</v>
      </c>
      <c r="J3" s="39" t="s">
        <v>1514</v>
      </c>
      <c r="K3" s="9">
        <v>137.6</v>
      </c>
      <c r="L3" s="9">
        <v>25050070</v>
      </c>
    </row>
    <row r="4" ht="16.5" spans="1:12">
      <c r="A4" s="39" t="s">
        <v>1513</v>
      </c>
      <c r="B4" s="9">
        <v>20</v>
      </c>
      <c r="C4" s="10">
        <v>163.5</v>
      </c>
      <c r="D4" s="11">
        <v>4.03</v>
      </c>
      <c r="E4" s="12">
        <v>84.4</v>
      </c>
      <c r="F4" s="12">
        <v>96.4</v>
      </c>
      <c r="G4" s="9">
        <v>25060163</v>
      </c>
    </row>
    <row r="5" ht="16.5" spans="1:12">
      <c r="A5" s="39" t="s">
        <v>1514</v>
      </c>
      <c r="B5" s="9">
        <v>20</v>
      </c>
      <c r="C5" s="10">
        <v>159.5</v>
      </c>
      <c r="D5" s="11">
        <v>3.4</v>
      </c>
      <c r="E5" s="12">
        <v>78.2</v>
      </c>
      <c r="F5" s="12">
        <v>93.7</v>
      </c>
      <c r="G5" s="9">
        <v>25050070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K1:K3 B3:C5"/>
  </dataValidations>
  <pageMargins left="0.75" right="0.75" top="1" bottom="1" header="0.5" footer="0.5"/>
  <pageSetup paperSize="9" orientation="portrait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L20" sqref="L20:L21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710</v>
      </c>
      <c r="B1" s="2">
        <f>SUM(B3:B30)</f>
        <v>9978.4</v>
      </c>
      <c r="C1" s="3" cm="1">
        <f t="array" ref="C1">SUMPRODUCT(C3:C30*B3:B30)/B1</f>
        <v>248.912877816083</v>
      </c>
      <c r="D1" s="4" cm="1">
        <f t="array" ref="D1">SUMPRODUCT(B3:B30*D3:D30)/B1</f>
        <v>4.95972380341538</v>
      </c>
      <c r="E1" s="3" cm="1">
        <f t="array" ref="E1">SUMPRODUCT(B3:B30*E3:E30)/B1</f>
        <v>83.2790988535236</v>
      </c>
      <c r="F1" s="3" cm="1">
        <f t="array" ref="F1">SUMPRODUCT(B3:B30*F3:F30)/B1</f>
        <v>94.937348673134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0" t="s">
        <v>1515</v>
      </c>
      <c r="B3" s="24">
        <v>523</v>
      </c>
      <c r="C3" s="28">
        <v>224.1</v>
      </c>
      <c r="D3" s="25">
        <v>5.63</v>
      </c>
      <c r="E3" s="29">
        <v>65.8</v>
      </c>
      <c r="F3" s="29">
        <v>87</v>
      </c>
      <c r="G3" s="24">
        <v>25010077</v>
      </c>
    </row>
    <row r="4" ht="16.5" spans="1:7">
      <c r="A4" s="30" t="s">
        <v>1516</v>
      </c>
      <c r="B4" s="24">
        <v>336.8</v>
      </c>
      <c r="C4" s="28">
        <v>226.9</v>
      </c>
      <c r="D4" s="25">
        <v>5.52</v>
      </c>
      <c r="E4" s="29">
        <v>67.6</v>
      </c>
      <c r="F4" s="29">
        <v>87.3</v>
      </c>
      <c r="G4" s="24">
        <v>25010220</v>
      </c>
    </row>
    <row r="5" ht="16.5" spans="1:7">
      <c r="A5" s="30" t="s">
        <v>1517</v>
      </c>
      <c r="B5" s="24">
        <v>487.4</v>
      </c>
      <c r="C5" s="28">
        <v>223.5</v>
      </c>
      <c r="D5" s="25">
        <v>5.76</v>
      </c>
      <c r="E5" s="29">
        <v>49.6</v>
      </c>
      <c r="F5" s="29">
        <v>76.3</v>
      </c>
      <c r="G5" s="24">
        <v>25010247</v>
      </c>
    </row>
    <row r="6" ht="16.5" spans="1:7">
      <c r="A6" s="30" t="s">
        <v>1518</v>
      </c>
      <c r="B6" s="24">
        <v>503</v>
      </c>
      <c r="C6" s="28">
        <v>226.8</v>
      </c>
      <c r="D6" s="25">
        <v>5.71</v>
      </c>
      <c r="E6" s="29">
        <v>60.8</v>
      </c>
      <c r="F6" s="29">
        <v>83.5</v>
      </c>
      <c r="G6" s="24">
        <v>25010246</v>
      </c>
    </row>
    <row r="7" ht="16.5" spans="1:7">
      <c r="A7" s="104" t="s">
        <v>1519</v>
      </c>
      <c r="B7" s="105">
        <v>502.4</v>
      </c>
      <c r="C7" s="29">
        <v>249.2</v>
      </c>
      <c r="D7" s="106">
        <v>4.94</v>
      </c>
      <c r="E7" s="29">
        <v>84.7</v>
      </c>
      <c r="F7" s="29">
        <v>96</v>
      </c>
      <c r="G7" s="24">
        <v>25020360</v>
      </c>
    </row>
    <row r="8" ht="16.5" spans="1:7">
      <c r="A8" s="30" t="s">
        <v>1520</v>
      </c>
      <c r="B8" s="24">
        <v>517.4</v>
      </c>
      <c r="C8" s="28">
        <v>279.4</v>
      </c>
      <c r="D8" s="25">
        <v>5.02</v>
      </c>
      <c r="E8" s="29">
        <v>90.3</v>
      </c>
      <c r="F8" s="29">
        <v>98.5</v>
      </c>
      <c r="G8" s="24">
        <v>25020446</v>
      </c>
    </row>
    <row r="9" ht="16.5" spans="1:7">
      <c r="A9" s="30" t="s">
        <v>1521</v>
      </c>
      <c r="B9" s="24">
        <v>760</v>
      </c>
      <c r="C9" s="28">
        <v>262.1</v>
      </c>
      <c r="D9" s="25">
        <v>5.27</v>
      </c>
      <c r="E9" s="29">
        <v>88.7</v>
      </c>
      <c r="F9" s="29">
        <v>98</v>
      </c>
      <c r="G9" s="24">
        <v>25030096</v>
      </c>
    </row>
    <row r="10" ht="16.5" spans="1:7">
      <c r="A10" s="30" t="s">
        <v>1522</v>
      </c>
      <c r="B10" s="24">
        <v>712</v>
      </c>
      <c r="C10" s="28">
        <v>256.8</v>
      </c>
      <c r="D10" s="25">
        <v>4.97</v>
      </c>
      <c r="E10" s="29">
        <v>87.9</v>
      </c>
      <c r="F10" s="29">
        <v>97.4</v>
      </c>
      <c r="G10" s="24">
        <v>25030336</v>
      </c>
    </row>
    <row r="11" ht="16.5" spans="1:7">
      <c r="A11" s="30" t="s">
        <v>1523</v>
      </c>
      <c r="B11" s="24">
        <v>252</v>
      </c>
      <c r="C11" s="28">
        <v>222.3</v>
      </c>
      <c r="D11" s="25">
        <v>5.02</v>
      </c>
      <c r="E11" s="29">
        <v>89.4</v>
      </c>
      <c r="F11" s="29">
        <v>98.5</v>
      </c>
      <c r="G11" s="24">
        <v>25040115</v>
      </c>
    </row>
    <row r="12" ht="16.5" spans="1:7">
      <c r="A12" s="30" t="s">
        <v>1524</v>
      </c>
      <c r="B12" s="24">
        <v>490</v>
      </c>
      <c r="C12" s="28">
        <v>241.4</v>
      </c>
      <c r="D12" s="25">
        <v>4.63</v>
      </c>
      <c r="E12" s="29">
        <v>90.6</v>
      </c>
      <c r="F12" s="29">
        <v>98.7</v>
      </c>
      <c r="G12" s="24">
        <v>25040243</v>
      </c>
    </row>
    <row r="13" ht="16.5" spans="1:7">
      <c r="A13" s="30" t="s">
        <v>1525</v>
      </c>
      <c r="B13" s="24">
        <v>467</v>
      </c>
      <c r="C13" s="28">
        <v>242.5</v>
      </c>
      <c r="D13" s="25">
        <v>4.66</v>
      </c>
      <c r="E13" s="29">
        <v>90.6</v>
      </c>
      <c r="F13" s="29">
        <v>98.8</v>
      </c>
      <c r="G13" s="24">
        <v>25040242</v>
      </c>
    </row>
    <row r="14" ht="16.5" spans="1:7">
      <c r="A14" s="30" t="s">
        <v>1526</v>
      </c>
      <c r="B14" s="24">
        <v>473.4</v>
      </c>
      <c r="C14" s="28">
        <v>256</v>
      </c>
      <c r="D14" s="25">
        <v>4.52</v>
      </c>
      <c r="E14" s="29">
        <v>90.6</v>
      </c>
      <c r="F14" s="29">
        <v>97.9</v>
      </c>
      <c r="G14" s="24">
        <v>25040258</v>
      </c>
    </row>
    <row r="15" ht="16.5" spans="1:7">
      <c r="A15" s="30" t="s">
        <v>1527</v>
      </c>
      <c r="B15" s="24">
        <v>499.2</v>
      </c>
      <c r="C15" s="28">
        <v>222.6</v>
      </c>
      <c r="D15" s="25">
        <v>5.08</v>
      </c>
      <c r="E15" s="29">
        <v>84</v>
      </c>
      <c r="F15" s="29">
        <v>96</v>
      </c>
      <c r="G15" s="24">
        <v>25040281</v>
      </c>
    </row>
    <row r="16" ht="16.5" spans="1:7">
      <c r="A16" s="30" t="s">
        <v>1528</v>
      </c>
      <c r="B16" s="24">
        <v>769</v>
      </c>
      <c r="C16" s="28">
        <v>268.5</v>
      </c>
      <c r="D16" s="25">
        <v>4.72</v>
      </c>
      <c r="E16" s="29">
        <v>90.7</v>
      </c>
      <c r="F16" s="29">
        <v>97.9</v>
      </c>
      <c r="G16" s="24">
        <v>25060109</v>
      </c>
    </row>
    <row r="17" ht="16.5" spans="1:7">
      <c r="A17" s="30" t="s">
        <v>1529</v>
      </c>
      <c r="B17" s="24">
        <v>260.2</v>
      </c>
      <c r="C17" s="28">
        <v>253.7</v>
      </c>
      <c r="D17" s="25">
        <v>4.23</v>
      </c>
      <c r="E17" s="29">
        <v>90.3</v>
      </c>
      <c r="F17" s="29">
        <v>97.5</v>
      </c>
      <c r="G17" s="24">
        <v>25060224</v>
      </c>
    </row>
    <row r="18" ht="16.5" spans="1:7">
      <c r="A18" s="30" t="s">
        <v>1530</v>
      </c>
      <c r="B18" s="24">
        <v>483.4</v>
      </c>
      <c r="C18" s="28">
        <v>254.9</v>
      </c>
      <c r="D18" s="25">
        <v>4.49</v>
      </c>
      <c r="E18" s="29">
        <v>89.4</v>
      </c>
      <c r="F18" s="29">
        <v>97.8</v>
      </c>
      <c r="G18" s="24">
        <v>25060229</v>
      </c>
    </row>
    <row r="19" ht="16.5" spans="1:7">
      <c r="A19" s="30" t="s">
        <v>1531</v>
      </c>
      <c r="B19" s="24">
        <v>715.2</v>
      </c>
      <c r="C19" s="28">
        <v>274.1</v>
      </c>
      <c r="D19" s="25">
        <v>4.49</v>
      </c>
      <c r="E19" s="29">
        <v>88.2</v>
      </c>
      <c r="F19" s="29">
        <v>97.9</v>
      </c>
      <c r="G19" s="24">
        <v>25060244</v>
      </c>
    </row>
    <row r="20" ht="16.5" spans="1:7">
      <c r="A20" s="30" t="s">
        <v>1532</v>
      </c>
      <c r="B20" s="24">
        <v>724.4</v>
      </c>
      <c r="C20" s="28">
        <v>235.6</v>
      </c>
      <c r="D20" s="25">
        <v>4.49</v>
      </c>
      <c r="E20" s="29">
        <v>83.1</v>
      </c>
      <c r="F20" s="29">
        <v>95.4</v>
      </c>
      <c r="G20" s="24">
        <v>25070066</v>
      </c>
    </row>
    <row r="21" ht="16.5" spans="1:7">
      <c r="A21" s="23" t="s">
        <v>1533</v>
      </c>
      <c r="B21" s="14">
        <v>502.6</v>
      </c>
      <c r="C21" s="15">
        <v>264.7</v>
      </c>
      <c r="D21" s="16">
        <v>5.24</v>
      </c>
      <c r="E21" s="17">
        <v>91.5</v>
      </c>
      <c r="F21" s="17">
        <v>98.6</v>
      </c>
      <c r="G21" s="14">
        <v>25020299</v>
      </c>
    </row>
    <row r="22" ht="16.5" spans="1:7">
      <c r="A22" s="23"/>
      <c r="B22" s="14"/>
      <c r="C22" s="15"/>
      <c r="D22" s="16"/>
      <c r="E22" s="17"/>
      <c r="F22" s="17"/>
      <c r="G22" s="14"/>
    </row>
    <row r="23" ht="16.5" spans="1:7">
      <c r="A23" s="23"/>
      <c r="B23" s="14"/>
      <c r="C23" s="15"/>
      <c r="D23" s="16"/>
      <c r="E23" s="17"/>
      <c r="F23" s="17"/>
      <c r="G23" s="14"/>
    </row>
    <row r="24" ht="16.5" spans="1:7">
      <c r="A24" s="23"/>
      <c r="B24" s="14"/>
      <c r="C24" s="15"/>
      <c r="D24" s="16"/>
      <c r="E24" s="17"/>
      <c r="F24" s="17"/>
      <c r="G24" s="14"/>
    </row>
    <row r="25" ht="16.5" spans="1:7">
      <c r="A25" s="23"/>
      <c r="B25" s="14"/>
      <c r="C25" s="15"/>
      <c r="D25" s="16"/>
      <c r="E25" s="17"/>
      <c r="F25" s="17"/>
      <c r="G25" s="14"/>
    </row>
  </sheetData>
  <conditionalFormatting sqref="A1:A2">
    <cfRule type="duplicateValues" dxfId="0" priority="1"/>
  </conditionalFormatting>
  <dataValidations count="1">
    <dataValidation allowBlank="1" showInputMessage="1" showErrorMessage="1" sqref="B3:C3 C4 B5:C25"/>
  </dataValidations>
  <pageMargins left="0.75" right="0.75" top="1" bottom="1" header="0.5" footer="0.5"/>
  <pageSetup paperSize="9" orientation="portrait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711</v>
      </c>
      <c r="B1" s="2">
        <f>SUM(B3:B30)</f>
        <v>10015</v>
      </c>
      <c r="C1" s="3" cm="1">
        <f t="array" ref="C1">SUMPRODUCT(C3:C30*B3:B30)/B1</f>
        <v>170.87434648028</v>
      </c>
      <c r="D1" s="4" cm="1">
        <f t="array" ref="D1">SUMPRODUCT(B3:B30*D3:D30)/B1</f>
        <v>3.85496615077384</v>
      </c>
      <c r="E1" s="3" cm="1">
        <f t="array" ref="E1">SUMPRODUCT(B3:B30*E3:E30)/B1</f>
        <v>78.9448627059411</v>
      </c>
      <c r="F1" s="3" cm="1">
        <f t="array" ref="F1">SUMPRODUCT(B3:B30*F3:F30)/B1</f>
        <v>94.3378252621068</v>
      </c>
    </row>
    <row r="2" ht="16.5" spans="1:7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1534</v>
      </c>
      <c r="B3" s="9">
        <v>469</v>
      </c>
      <c r="C3" s="10">
        <v>172.3</v>
      </c>
      <c r="D3" s="11">
        <v>4.43</v>
      </c>
      <c r="E3" s="12">
        <v>77.4</v>
      </c>
      <c r="F3" s="12">
        <v>93</v>
      </c>
      <c r="G3" s="9">
        <v>25070102</v>
      </c>
    </row>
    <row r="4" ht="16.5" spans="1:7">
      <c r="A4" s="39" t="s">
        <v>1535</v>
      </c>
      <c r="B4" s="9">
        <v>307</v>
      </c>
      <c r="C4" s="10">
        <v>164</v>
      </c>
      <c r="D4" s="11">
        <v>3.73</v>
      </c>
      <c r="E4" s="12">
        <v>74.4</v>
      </c>
      <c r="F4" s="12">
        <v>92.3</v>
      </c>
      <c r="G4" s="9">
        <v>25070089</v>
      </c>
    </row>
    <row r="5" ht="16.5" spans="1:7">
      <c r="A5" s="39" t="s">
        <v>1536</v>
      </c>
      <c r="B5" s="9">
        <v>411</v>
      </c>
      <c r="C5" s="10">
        <v>205.4</v>
      </c>
      <c r="D5" s="11">
        <v>5.49</v>
      </c>
      <c r="E5" s="12">
        <v>75.2</v>
      </c>
      <c r="F5" s="12">
        <v>91.7</v>
      </c>
      <c r="G5" s="9">
        <v>25070101</v>
      </c>
    </row>
    <row r="6" ht="16.5" spans="1:7">
      <c r="A6" s="39" t="s">
        <v>1537</v>
      </c>
      <c r="B6" s="9">
        <v>454</v>
      </c>
      <c r="C6" s="10">
        <v>196.6</v>
      </c>
      <c r="D6" s="11">
        <v>4.34</v>
      </c>
      <c r="E6" s="12">
        <v>76.8</v>
      </c>
      <c r="F6" s="12">
        <v>92.8</v>
      </c>
      <c r="G6" s="9">
        <v>25070084</v>
      </c>
    </row>
    <row r="7" ht="16.5" spans="1:7">
      <c r="A7" s="39" t="s">
        <v>1538</v>
      </c>
      <c r="B7" s="9">
        <v>475.4</v>
      </c>
      <c r="C7" s="10">
        <v>193</v>
      </c>
      <c r="D7" s="11">
        <v>4.29</v>
      </c>
      <c r="E7" s="12">
        <v>76.5</v>
      </c>
      <c r="F7" s="12">
        <v>92.5</v>
      </c>
      <c r="G7" s="9">
        <v>25070085</v>
      </c>
    </row>
    <row r="8" ht="16.5" spans="1:7">
      <c r="A8" s="39" t="s">
        <v>1539</v>
      </c>
      <c r="B8" s="9">
        <v>414.6</v>
      </c>
      <c r="C8" s="10">
        <v>196.5</v>
      </c>
      <c r="D8" s="11">
        <v>4.23</v>
      </c>
      <c r="E8" s="12">
        <v>76</v>
      </c>
      <c r="F8" s="12">
        <v>92.3</v>
      </c>
      <c r="G8" s="9">
        <v>25070086</v>
      </c>
    </row>
    <row r="9" ht="16.5" spans="1:7">
      <c r="A9" s="39" t="s">
        <v>1540</v>
      </c>
      <c r="B9" s="9">
        <v>465</v>
      </c>
      <c r="C9" s="10">
        <v>258.7</v>
      </c>
      <c r="D9" s="11">
        <v>3.94</v>
      </c>
      <c r="E9" s="12">
        <v>91</v>
      </c>
      <c r="F9" s="12">
        <v>98.5</v>
      </c>
      <c r="G9" s="9">
        <v>25070096</v>
      </c>
    </row>
    <row r="10" ht="16.5" spans="1:7">
      <c r="A10" s="39" t="s">
        <v>1541</v>
      </c>
      <c r="B10" s="9">
        <v>465</v>
      </c>
      <c r="C10" s="10">
        <v>155.5</v>
      </c>
      <c r="D10" s="11">
        <v>3.73</v>
      </c>
      <c r="E10" s="12">
        <v>71.8</v>
      </c>
      <c r="F10" s="12">
        <v>91.2</v>
      </c>
      <c r="G10" s="9">
        <v>25070087</v>
      </c>
    </row>
    <row r="11" ht="16.5" spans="1:7">
      <c r="A11" s="39" t="s">
        <v>1542</v>
      </c>
      <c r="B11" s="9">
        <v>482.6</v>
      </c>
      <c r="C11" s="10">
        <v>157.7</v>
      </c>
      <c r="D11" s="11">
        <v>3.7</v>
      </c>
      <c r="E11" s="12">
        <v>71.7</v>
      </c>
      <c r="F11" s="12">
        <v>91.1</v>
      </c>
      <c r="G11" s="9">
        <v>25070088</v>
      </c>
    </row>
    <row r="12" ht="16.5" spans="1:7">
      <c r="A12" s="39" t="s">
        <v>1543</v>
      </c>
      <c r="B12" s="9">
        <v>479</v>
      </c>
      <c r="C12" s="10">
        <v>212</v>
      </c>
      <c r="D12" s="11">
        <v>5.3</v>
      </c>
      <c r="E12" s="12">
        <v>77.4</v>
      </c>
      <c r="F12" s="12">
        <v>92.6</v>
      </c>
      <c r="G12" s="9">
        <v>25070099</v>
      </c>
    </row>
    <row r="13" ht="16.5" spans="1:7">
      <c r="A13" s="39" t="s">
        <v>1544</v>
      </c>
      <c r="B13" s="9">
        <v>475.4</v>
      </c>
      <c r="C13" s="10">
        <v>206.8</v>
      </c>
      <c r="D13" s="11">
        <v>5.46</v>
      </c>
      <c r="E13" s="12">
        <v>75.1</v>
      </c>
      <c r="F13" s="12">
        <v>91.7</v>
      </c>
      <c r="G13" s="9">
        <v>25070100</v>
      </c>
    </row>
    <row r="14" ht="16.5" spans="1:7">
      <c r="A14" s="39" t="s">
        <v>1545</v>
      </c>
      <c r="B14" s="9">
        <v>875.8</v>
      </c>
      <c r="C14" s="10">
        <v>110.3</v>
      </c>
      <c r="D14" s="11">
        <v>3.06</v>
      </c>
      <c r="E14" s="12">
        <v>80.3</v>
      </c>
      <c r="F14" s="12">
        <v>95.8</v>
      </c>
      <c r="G14" s="9">
        <v>25070105</v>
      </c>
    </row>
    <row r="15" ht="16.5" spans="1:7">
      <c r="A15" s="39" t="s">
        <v>1546</v>
      </c>
      <c r="B15" s="9">
        <v>721.8</v>
      </c>
      <c r="C15" s="10">
        <v>110</v>
      </c>
      <c r="D15" s="11">
        <v>3.09</v>
      </c>
      <c r="E15" s="12">
        <v>80.4</v>
      </c>
      <c r="F15" s="12">
        <v>95.9</v>
      </c>
      <c r="G15" s="9">
        <v>25070106</v>
      </c>
    </row>
    <row r="16" ht="16.5" spans="1:7">
      <c r="A16" s="39" t="s">
        <v>1547</v>
      </c>
      <c r="B16" s="9">
        <v>550.2</v>
      </c>
      <c r="C16" s="10">
        <v>105.1</v>
      </c>
      <c r="D16" s="11">
        <v>2.7</v>
      </c>
      <c r="E16" s="12">
        <v>76.6</v>
      </c>
      <c r="F16" s="12">
        <v>95.4</v>
      </c>
      <c r="G16" s="9">
        <v>25070090</v>
      </c>
    </row>
    <row r="17" ht="16.5" spans="1:7">
      <c r="A17" s="39" t="s">
        <v>1548</v>
      </c>
      <c r="B17" s="9">
        <v>704.6</v>
      </c>
      <c r="C17" s="10">
        <v>239.7</v>
      </c>
      <c r="D17" s="11">
        <v>4.57</v>
      </c>
      <c r="E17" s="12">
        <v>88.4</v>
      </c>
      <c r="F17" s="12">
        <v>97.3</v>
      </c>
      <c r="G17" s="9">
        <v>25070098</v>
      </c>
    </row>
    <row r="18" ht="16.5" spans="1:7">
      <c r="A18" s="39" t="s">
        <v>1549</v>
      </c>
      <c r="B18" s="9">
        <v>610.2</v>
      </c>
      <c r="C18" s="10">
        <v>104.8</v>
      </c>
      <c r="D18" s="11">
        <v>2.73</v>
      </c>
      <c r="E18" s="12">
        <v>76.5</v>
      </c>
      <c r="F18" s="12">
        <v>95.4</v>
      </c>
      <c r="G18" s="9">
        <v>25070091</v>
      </c>
    </row>
    <row r="19" ht="16.5" spans="1:7">
      <c r="A19" s="39" t="s">
        <v>1550</v>
      </c>
      <c r="B19" s="9">
        <v>852.2</v>
      </c>
      <c r="C19" s="10">
        <v>112.3</v>
      </c>
      <c r="D19" s="11">
        <v>2.83</v>
      </c>
      <c r="E19" s="12">
        <v>72.9</v>
      </c>
      <c r="F19" s="12">
        <v>93</v>
      </c>
      <c r="G19" s="9">
        <v>25070092</v>
      </c>
    </row>
    <row r="20" ht="16.5" spans="1:7">
      <c r="A20" s="39" t="s">
        <v>1551</v>
      </c>
      <c r="B20" s="9">
        <v>802.2</v>
      </c>
      <c r="C20" s="10">
        <v>252.2</v>
      </c>
      <c r="D20" s="11">
        <v>3.97</v>
      </c>
      <c r="E20" s="12">
        <v>91.2</v>
      </c>
      <c r="F20" s="12">
        <v>98.5</v>
      </c>
      <c r="G20" s="9">
        <v>25070097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0"/>
  </dataValidations>
  <pageMargins left="0.75" right="0.75" top="1" bottom="1" header="0.5" footer="0.5"/>
  <pageSetup paperSize="9" orientation="portrait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I1" sqref="A$1:I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712</v>
      </c>
      <c r="B1" s="2">
        <f>SUM(B3:B30)</f>
        <v>5146.4</v>
      </c>
      <c r="C1" s="3" cm="1">
        <f t="array" ref="C1">SUMPRODUCT(C3:C30*B3:B30)/B1</f>
        <v>180.929694543759</v>
      </c>
      <c r="D1" s="4" cm="1">
        <f t="array" ref="D1">SUMPRODUCT(B3:B30*D3:D30)/B1</f>
        <v>3.98486242810508</v>
      </c>
      <c r="E1" s="3" cm="1">
        <f t="array" ref="E1">SUMPRODUCT(B3:B30*E3:E30)/B1</f>
        <v>79.3616936110679</v>
      </c>
      <c r="F1" s="3" cm="1">
        <f t="array" ref="F1">SUMPRODUCT(B3:B30*F3:F30)/B1</f>
        <v>94.3819135706513</v>
      </c>
    </row>
    <row r="2" ht="16.5" spans="1:7">
      <c r="A2" s="6">
        <v>150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1552</v>
      </c>
      <c r="B3" s="9">
        <v>741.4</v>
      </c>
      <c r="C3" s="10">
        <v>172.6</v>
      </c>
      <c r="D3" s="11">
        <v>4.23</v>
      </c>
      <c r="E3" s="12">
        <v>69.5</v>
      </c>
      <c r="F3" s="12">
        <v>90.3</v>
      </c>
      <c r="G3" s="34">
        <v>25070121</v>
      </c>
    </row>
    <row r="4" ht="16.5" spans="1:7">
      <c r="A4" s="39" t="s">
        <v>1553</v>
      </c>
      <c r="B4" s="9">
        <v>462.8</v>
      </c>
      <c r="C4" s="10">
        <v>246.8</v>
      </c>
      <c r="D4" s="11">
        <v>4.11</v>
      </c>
      <c r="E4" s="12">
        <v>91.3</v>
      </c>
      <c r="F4" s="12">
        <v>98.7</v>
      </c>
      <c r="G4" s="34">
        <v>25070079</v>
      </c>
    </row>
    <row r="5" ht="16.5" spans="1:7">
      <c r="A5" s="39" t="s">
        <v>1554</v>
      </c>
      <c r="B5" s="9">
        <v>654</v>
      </c>
      <c r="C5" s="10">
        <v>144.2</v>
      </c>
      <c r="D5" s="11">
        <v>3.28</v>
      </c>
      <c r="E5" s="12">
        <v>72.3</v>
      </c>
      <c r="F5" s="12">
        <v>92.1</v>
      </c>
      <c r="G5" s="34">
        <v>25070125</v>
      </c>
    </row>
    <row r="6" ht="16.5" spans="1:7">
      <c r="A6" s="39" t="s">
        <v>1555</v>
      </c>
      <c r="B6" s="9">
        <v>630.2</v>
      </c>
      <c r="C6" s="10">
        <v>140.3</v>
      </c>
      <c r="D6" s="11">
        <v>3.53</v>
      </c>
      <c r="E6" s="12">
        <v>75.4</v>
      </c>
      <c r="F6" s="12">
        <v>93.3</v>
      </c>
      <c r="G6" s="34">
        <v>25030404</v>
      </c>
    </row>
    <row r="7" ht="16.5" spans="1:7">
      <c r="A7" s="39" t="s">
        <v>1556</v>
      </c>
      <c r="B7" s="9">
        <v>351.2</v>
      </c>
      <c r="C7" s="10">
        <v>164.8</v>
      </c>
      <c r="D7" s="11">
        <v>4.46</v>
      </c>
      <c r="E7" s="12">
        <v>79.8</v>
      </c>
      <c r="F7" s="12">
        <v>94.8</v>
      </c>
      <c r="G7" s="34">
        <v>25070056</v>
      </c>
    </row>
    <row r="8" ht="16.5" spans="1:7">
      <c r="A8" s="39" t="s">
        <v>1557</v>
      </c>
      <c r="B8" s="9">
        <v>808.4</v>
      </c>
      <c r="C8" s="10">
        <v>251.5</v>
      </c>
      <c r="D8" s="11">
        <v>3.97</v>
      </c>
      <c r="E8" s="12">
        <v>91.2</v>
      </c>
      <c r="F8" s="12">
        <v>98.3</v>
      </c>
      <c r="G8" s="34">
        <v>25070127</v>
      </c>
    </row>
    <row r="9" ht="16.5" spans="1:7">
      <c r="A9" s="39" t="s">
        <v>1558</v>
      </c>
      <c r="B9" s="9">
        <v>425.6</v>
      </c>
      <c r="C9" s="10">
        <v>162.5</v>
      </c>
      <c r="D9" s="11">
        <v>4.38</v>
      </c>
      <c r="E9" s="12">
        <v>72.4</v>
      </c>
      <c r="F9" s="12">
        <v>92.1</v>
      </c>
      <c r="G9" s="34">
        <v>25040249</v>
      </c>
    </row>
    <row r="10" ht="16.5" spans="1:7">
      <c r="A10" s="39" t="s">
        <v>1513</v>
      </c>
      <c r="B10" s="9">
        <v>479.2</v>
      </c>
      <c r="C10" s="10">
        <v>163.5</v>
      </c>
      <c r="D10" s="11">
        <v>4.03</v>
      </c>
      <c r="E10" s="12">
        <v>84.4</v>
      </c>
      <c r="F10" s="12">
        <v>96.4</v>
      </c>
      <c r="G10" s="34">
        <v>25060163</v>
      </c>
    </row>
    <row r="11" ht="16.5" spans="1:7">
      <c r="A11" s="39" t="s">
        <v>1559</v>
      </c>
      <c r="B11" s="9">
        <v>593.6</v>
      </c>
      <c r="C11" s="10">
        <v>164.3</v>
      </c>
      <c r="D11" s="11">
        <v>4.26</v>
      </c>
      <c r="E11" s="12">
        <v>78.9</v>
      </c>
      <c r="F11" s="12">
        <v>94.2</v>
      </c>
      <c r="G11" s="34">
        <v>25070131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5 B3:C4 B6:C11"/>
  </dataValidations>
  <pageMargins left="0.75" right="0.75" top="1" bottom="1" header="0.5" footer="0.5"/>
  <pageSetup paperSize="9" orientation="portrait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J1" sqref="J$1:L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713</v>
      </c>
      <c r="B1" s="2">
        <f>SUM(B3:B30)</f>
        <v>10130</v>
      </c>
      <c r="C1" s="3" cm="1">
        <f t="array" ref="C1">SUMPRODUCT(C3:C30*B3:B30)/B1</f>
        <v>130.849735439289</v>
      </c>
      <c r="D1" s="4" cm="1">
        <f t="array" ref="D1">SUMPRODUCT(B3:B30*D3:D30)/B1</f>
        <v>3.46842073050345</v>
      </c>
      <c r="E1" s="3" cm="1">
        <f t="array" ref="E1">SUMPRODUCT(B3:B30*E3:E30)/B1</f>
        <v>76.8420414610069</v>
      </c>
      <c r="F1" s="3" cm="1">
        <f t="array" ref="F1">SUMPRODUCT(B3:B30*F3:F30)/B1</f>
        <v>94.1547087857848</v>
      </c>
      <c r="G1" s="3" cm="1">
        <f t="array" ref="G1">SUMPRODUCT(B3:B30*G3:G30)/B1</f>
        <v>9.77618558736426</v>
      </c>
    </row>
    <row r="2" ht="16.5" spans="1:8">
      <c r="A2" s="6">
        <v>120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1560</v>
      </c>
    </row>
    <row r="3" ht="16.5" spans="1:8">
      <c r="A3" s="23" t="s">
        <v>1561</v>
      </c>
      <c r="B3" s="14">
        <v>473.6</v>
      </c>
      <c r="C3" s="15">
        <v>139</v>
      </c>
      <c r="D3" s="16">
        <v>3.53</v>
      </c>
      <c r="E3" s="17">
        <v>75.3</v>
      </c>
      <c r="F3" s="17">
        <v>92.8</v>
      </c>
      <c r="G3" s="14">
        <v>9.2</v>
      </c>
      <c r="H3" s="14">
        <v>25060118</v>
      </c>
    </row>
    <row r="4" ht="16.5" spans="1:8">
      <c r="A4" s="23" t="s">
        <v>1562</v>
      </c>
      <c r="B4" s="14">
        <v>483.2</v>
      </c>
      <c r="C4" s="15">
        <v>140</v>
      </c>
      <c r="D4" s="16">
        <v>3.7</v>
      </c>
      <c r="E4" s="17">
        <v>75.5</v>
      </c>
      <c r="F4" s="17">
        <v>92.5</v>
      </c>
      <c r="G4" s="14">
        <v>9.2</v>
      </c>
      <c r="H4" s="14">
        <v>25060117</v>
      </c>
    </row>
    <row r="5" ht="16.5" spans="1:8">
      <c r="A5" s="23" t="s">
        <v>1563</v>
      </c>
      <c r="B5" s="14">
        <v>510.8</v>
      </c>
      <c r="C5" s="15">
        <v>110.1</v>
      </c>
      <c r="D5" s="16">
        <v>2.87</v>
      </c>
      <c r="E5" s="17">
        <v>77.3</v>
      </c>
      <c r="F5" s="17">
        <v>94.9</v>
      </c>
      <c r="G5" s="15">
        <v>9.4</v>
      </c>
      <c r="H5" s="14">
        <v>25040213</v>
      </c>
    </row>
    <row r="6" ht="16.5" spans="1:8">
      <c r="A6" s="23" t="s">
        <v>1564</v>
      </c>
      <c r="B6" s="14">
        <v>394.4</v>
      </c>
      <c r="C6" s="15">
        <v>111.9</v>
      </c>
      <c r="D6" s="16">
        <v>2.83</v>
      </c>
      <c r="E6" s="17">
        <v>77.6</v>
      </c>
      <c r="F6" s="17">
        <v>95.2</v>
      </c>
      <c r="G6" s="15">
        <v>9.4</v>
      </c>
      <c r="H6" s="14">
        <v>25040214</v>
      </c>
    </row>
    <row r="7" ht="16.5" spans="1:8">
      <c r="A7" s="23" t="s">
        <v>1565</v>
      </c>
      <c r="B7" s="14">
        <v>517.4</v>
      </c>
      <c r="C7" s="15">
        <v>121.9</v>
      </c>
      <c r="D7" s="16">
        <v>3.18</v>
      </c>
      <c r="E7" s="17">
        <v>81.9</v>
      </c>
      <c r="F7" s="17">
        <v>96.7</v>
      </c>
      <c r="G7" s="15">
        <v>9.9</v>
      </c>
      <c r="H7" s="14">
        <v>25050046</v>
      </c>
    </row>
    <row r="8" ht="16.5" spans="1:8">
      <c r="A8" s="23" t="s">
        <v>1566</v>
      </c>
      <c r="B8" s="14">
        <v>499.4</v>
      </c>
      <c r="C8" s="15">
        <v>105.7</v>
      </c>
      <c r="D8" s="16">
        <v>2.77</v>
      </c>
      <c r="E8" s="17">
        <v>82.1</v>
      </c>
      <c r="F8" s="17">
        <v>97.2</v>
      </c>
      <c r="G8" s="15">
        <v>6.1</v>
      </c>
      <c r="H8" s="14">
        <v>25040137</v>
      </c>
    </row>
    <row r="9" ht="16.5" spans="1:8">
      <c r="A9" s="23" t="s">
        <v>1567</v>
      </c>
      <c r="B9" s="14">
        <v>399.2</v>
      </c>
      <c r="C9" s="15">
        <v>106.2</v>
      </c>
      <c r="D9" s="16">
        <v>2.74</v>
      </c>
      <c r="E9" s="17">
        <v>82.2</v>
      </c>
      <c r="F9" s="17">
        <v>97.3</v>
      </c>
      <c r="G9" s="15">
        <v>6.1</v>
      </c>
      <c r="H9" s="14">
        <v>25040138</v>
      </c>
    </row>
    <row r="10" ht="16.5" spans="1:8">
      <c r="A10" s="23" t="s">
        <v>1568</v>
      </c>
      <c r="B10" s="14">
        <v>488</v>
      </c>
      <c r="C10" s="15">
        <v>107.5</v>
      </c>
      <c r="D10" s="16">
        <v>2.74</v>
      </c>
      <c r="E10" s="17">
        <v>82</v>
      </c>
      <c r="F10" s="17">
        <v>96.8</v>
      </c>
      <c r="G10" s="15">
        <v>6.1</v>
      </c>
      <c r="H10" s="14">
        <v>25040136</v>
      </c>
    </row>
    <row r="11" ht="16.5" spans="1:8">
      <c r="A11" s="23" t="s">
        <v>1569</v>
      </c>
      <c r="B11" s="14">
        <v>492.4</v>
      </c>
      <c r="C11" s="15">
        <v>132.2</v>
      </c>
      <c r="D11" s="16">
        <v>3.61</v>
      </c>
      <c r="E11" s="17">
        <v>72.6</v>
      </c>
      <c r="F11" s="17">
        <v>93.1</v>
      </c>
      <c r="G11" s="15">
        <v>9.3</v>
      </c>
      <c r="H11" s="14">
        <v>25030307</v>
      </c>
    </row>
    <row r="12" ht="16.5" spans="1:8">
      <c r="A12" s="23" t="s">
        <v>1570</v>
      </c>
      <c r="B12" s="14">
        <v>489.8</v>
      </c>
      <c r="C12" s="15">
        <v>134.3</v>
      </c>
      <c r="D12" s="16">
        <v>3.58</v>
      </c>
      <c r="E12" s="17">
        <v>72.7</v>
      </c>
      <c r="F12" s="17">
        <v>93.1</v>
      </c>
      <c r="G12" s="15">
        <v>9.3</v>
      </c>
      <c r="H12" s="14">
        <v>25030308</v>
      </c>
    </row>
    <row r="13" ht="16.5" spans="1:8">
      <c r="A13" s="23" t="s">
        <v>1571</v>
      </c>
      <c r="B13" s="14">
        <v>525.2</v>
      </c>
      <c r="C13" s="15">
        <v>130.1</v>
      </c>
      <c r="D13" s="16">
        <v>3.03</v>
      </c>
      <c r="E13" s="17">
        <v>71.1</v>
      </c>
      <c r="F13" s="17">
        <v>90.7</v>
      </c>
      <c r="G13" s="15">
        <v>8.1</v>
      </c>
      <c r="H13" s="14">
        <v>25030479</v>
      </c>
    </row>
    <row r="14" ht="16.5" spans="1:8">
      <c r="A14" s="23" t="s">
        <v>1572</v>
      </c>
      <c r="B14" s="14">
        <v>502.2</v>
      </c>
      <c r="C14" s="15">
        <v>107.9</v>
      </c>
      <c r="D14" s="16">
        <v>3.06</v>
      </c>
      <c r="E14" s="17">
        <v>66.3</v>
      </c>
      <c r="F14" s="17">
        <v>90.2</v>
      </c>
      <c r="G14" s="15">
        <v>9.4</v>
      </c>
      <c r="H14" s="14">
        <v>25020143</v>
      </c>
    </row>
    <row r="15" ht="16.5" spans="1:8">
      <c r="A15" s="23" t="s">
        <v>1573</v>
      </c>
      <c r="B15" s="14">
        <v>656.6</v>
      </c>
      <c r="C15" s="15">
        <v>156.6</v>
      </c>
      <c r="D15" s="16">
        <v>4.15</v>
      </c>
      <c r="E15" s="17">
        <v>78.5</v>
      </c>
      <c r="F15" s="17">
        <v>94.1</v>
      </c>
      <c r="G15" s="15">
        <v>11.2</v>
      </c>
      <c r="H15" s="14">
        <v>25070133</v>
      </c>
    </row>
    <row r="16" ht="16.5" spans="1:8">
      <c r="A16" s="23" t="s">
        <v>1574</v>
      </c>
      <c r="B16" s="14">
        <v>794.4</v>
      </c>
      <c r="C16" s="15">
        <v>159.6</v>
      </c>
      <c r="D16" s="16">
        <v>4.17</v>
      </c>
      <c r="E16" s="17">
        <v>79.1</v>
      </c>
      <c r="F16" s="17">
        <v>94.3</v>
      </c>
      <c r="G16" s="15">
        <v>11.2</v>
      </c>
      <c r="H16" s="14">
        <v>25070132</v>
      </c>
    </row>
    <row r="17" ht="16.5" spans="1:8">
      <c r="A17" s="23" t="s">
        <v>1575</v>
      </c>
      <c r="B17" s="14">
        <v>805.8</v>
      </c>
      <c r="C17" s="15">
        <v>121.3</v>
      </c>
      <c r="D17" s="16">
        <v>3.67</v>
      </c>
      <c r="E17" s="17">
        <v>82.4</v>
      </c>
      <c r="F17" s="17">
        <v>97</v>
      </c>
      <c r="G17" s="15">
        <v>13.8</v>
      </c>
      <c r="H17" s="14">
        <v>25070146</v>
      </c>
    </row>
    <row r="18" ht="16.5" spans="1:8">
      <c r="A18" s="23" t="s">
        <v>1576</v>
      </c>
      <c r="B18" s="14">
        <v>729.6</v>
      </c>
      <c r="C18" s="15">
        <v>126.6</v>
      </c>
      <c r="D18" s="16">
        <v>3.53</v>
      </c>
      <c r="E18" s="17">
        <v>81.3</v>
      </c>
      <c r="F18" s="17">
        <v>96.4</v>
      </c>
      <c r="G18" s="15">
        <v>10.7</v>
      </c>
      <c r="H18" s="14">
        <v>25070058</v>
      </c>
    </row>
    <row r="19" ht="16.5" spans="1:8">
      <c r="A19" s="23" t="s">
        <v>1577</v>
      </c>
      <c r="B19" s="14">
        <v>531.2</v>
      </c>
      <c r="C19" s="15">
        <v>181.4</v>
      </c>
      <c r="D19" s="16">
        <v>4.72</v>
      </c>
      <c r="E19" s="17">
        <v>59.6</v>
      </c>
      <c r="F19" s="17">
        <v>85.1</v>
      </c>
      <c r="G19" s="15">
        <v>9.4</v>
      </c>
      <c r="H19" s="14">
        <v>25020138</v>
      </c>
    </row>
    <row r="20" ht="16.5" spans="1:8">
      <c r="A20" s="23" t="s">
        <v>1578</v>
      </c>
      <c r="B20" s="14">
        <v>362.6</v>
      </c>
      <c r="C20" s="15">
        <v>146.7</v>
      </c>
      <c r="D20" s="16">
        <v>3.7</v>
      </c>
      <c r="E20" s="17">
        <v>80.1</v>
      </c>
      <c r="F20" s="17">
        <v>95.4</v>
      </c>
      <c r="G20" s="15">
        <v>11.5</v>
      </c>
      <c r="H20" s="14">
        <v>25050044</v>
      </c>
    </row>
    <row r="21" ht="16.5" spans="1:8">
      <c r="A21" s="23" t="s">
        <v>1579</v>
      </c>
      <c r="B21" s="14">
        <v>474.2</v>
      </c>
      <c r="C21" s="15">
        <v>122.9</v>
      </c>
      <c r="D21" s="16">
        <v>3.28</v>
      </c>
      <c r="E21" s="17">
        <v>78.4</v>
      </c>
      <c r="F21" s="17">
        <v>95.1</v>
      </c>
      <c r="G21" s="15">
        <v>12</v>
      </c>
      <c r="H21" s="14">
        <v>25030401</v>
      </c>
    </row>
    <row r="22" ht="16.5" spans="1:8">
      <c r="A22" s="23"/>
      <c r="B22" s="14"/>
      <c r="C22" s="15"/>
      <c r="D22" s="16"/>
      <c r="E22" s="17"/>
      <c r="F22" s="17"/>
      <c r="G22" s="15"/>
      <c r="H22" s="14"/>
    </row>
  </sheetData>
  <conditionalFormatting sqref="A1:A14">
    <cfRule type="duplicateValues" dxfId="0" priority="2"/>
  </conditionalFormatting>
  <conditionalFormatting sqref="A15:A20">
    <cfRule type="duplicateValues" dxfId="0" priority="1"/>
  </conditionalFormatting>
  <dataValidations count="1">
    <dataValidation allowBlank="1" showInputMessage="1" showErrorMessage="1" sqref="B3:C22"/>
  </dataValidations>
  <pageMargins left="0.75" right="0.75" top="1" bottom="1" header="0.5" footer="0.5"/>
  <pageSetup paperSize="9" orientation="portrait"/>
  <headerFooter/>
  <legacy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714</v>
      </c>
      <c r="B1" s="2">
        <f>SUM(B3:B30)</f>
        <v>10106.6</v>
      </c>
      <c r="C1" s="3" cm="1">
        <f t="array" ref="C1">SUMPRODUCT(C3:C30*B3:B30)/B1</f>
        <v>150.069384362694</v>
      </c>
      <c r="D1" s="4" cm="1">
        <f t="array" ref="D1">SUMPRODUCT(B3:B30*D3:D30)/B1</f>
        <v>3.79325609007975</v>
      </c>
      <c r="E1" s="3" cm="1">
        <f t="array" ref="E1">SUMPRODUCT(B3:B30*E3:E30)/B1</f>
        <v>77.5768388973542</v>
      </c>
      <c r="F1" s="3" cm="1">
        <f t="array" ref="F1">SUMPRODUCT(B3:B30*F3:F30)/B1</f>
        <v>94.5038054340728</v>
      </c>
      <c r="G1" s="3" cm="1">
        <f t="array" ref="G1">SUMPRODUCT(B3:B30*G3:G30)/B1</f>
        <v>11.5755405378663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23" t="s">
        <v>1580</v>
      </c>
      <c r="B3" s="14">
        <v>799.4</v>
      </c>
      <c r="C3" s="15">
        <v>196.7</v>
      </c>
      <c r="D3" s="16">
        <v>5.6</v>
      </c>
      <c r="E3" s="17">
        <v>72.9</v>
      </c>
      <c r="F3" s="17">
        <v>91.7</v>
      </c>
      <c r="G3" s="16">
        <v>12.08</v>
      </c>
      <c r="H3" s="14">
        <v>25040248</v>
      </c>
    </row>
    <row r="4" ht="16.5" spans="1:8">
      <c r="A4" s="23" t="s">
        <v>1581</v>
      </c>
      <c r="B4" s="14">
        <v>768.4</v>
      </c>
      <c r="C4" s="15">
        <v>132.5</v>
      </c>
      <c r="D4" s="16">
        <v>3.61</v>
      </c>
      <c r="E4" s="17">
        <v>79.4</v>
      </c>
      <c r="F4" s="17">
        <v>95.8</v>
      </c>
      <c r="G4" s="16">
        <v>11.07</v>
      </c>
      <c r="H4" s="14">
        <v>25070160</v>
      </c>
    </row>
    <row r="5" ht="16.5" spans="1:8">
      <c r="A5" s="23" t="s">
        <v>1582</v>
      </c>
      <c r="B5" s="14">
        <v>742.4</v>
      </c>
      <c r="C5" s="15">
        <v>201.5</v>
      </c>
      <c r="D5" s="16">
        <v>5.35</v>
      </c>
      <c r="E5" s="17">
        <v>73.9</v>
      </c>
      <c r="F5" s="17">
        <v>91.9</v>
      </c>
      <c r="G5" s="16">
        <v>11.9</v>
      </c>
      <c r="H5" s="14">
        <v>25070196</v>
      </c>
    </row>
    <row r="6" ht="16.5" spans="1:8">
      <c r="A6" s="23" t="s">
        <v>1583</v>
      </c>
      <c r="B6" s="14">
        <v>502.8</v>
      </c>
      <c r="C6" s="15">
        <v>107.5</v>
      </c>
      <c r="D6" s="16">
        <v>3.15</v>
      </c>
      <c r="E6" s="17">
        <v>81.9</v>
      </c>
      <c r="F6" s="17">
        <v>96.8</v>
      </c>
      <c r="G6" s="16">
        <v>13.51</v>
      </c>
      <c r="H6" s="14">
        <v>25070200</v>
      </c>
    </row>
    <row r="7" ht="16.5" spans="1:8">
      <c r="A7" s="23" t="s">
        <v>1584</v>
      </c>
      <c r="B7" s="14">
        <v>443.8</v>
      </c>
      <c r="C7" s="15">
        <v>273.1</v>
      </c>
      <c r="D7" s="16">
        <v>3.97</v>
      </c>
      <c r="E7" s="17">
        <v>89.6</v>
      </c>
      <c r="F7" s="17">
        <v>98.4</v>
      </c>
      <c r="G7" s="16">
        <v>10.98</v>
      </c>
      <c r="H7" s="14">
        <v>25070112</v>
      </c>
    </row>
    <row r="8" ht="16.5" spans="1:8">
      <c r="A8" s="23" t="s">
        <v>1585</v>
      </c>
      <c r="B8" s="14">
        <v>613.4</v>
      </c>
      <c r="C8" s="15">
        <v>128.1</v>
      </c>
      <c r="D8" s="16">
        <v>3.46</v>
      </c>
      <c r="E8" s="17">
        <v>80</v>
      </c>
      <c r="F8" s="17">
        <v>96.2</v>
      </c>
      <c r="G8" s="16">
        <v>11.44</v>
      </c>
      <c r="H8" s="14">
        <v>25070161</v>
      </c>
    </row>
    <row r="9" ht="16.5" spans="1:8">
      <c r="A9" s="23" t="s">
        <v>1586</v>
      </c>
      <c r="B9" s="14">
        <v>859.2</v>
      </c>
      <c r="C9" s="15">
        <v>105.4</v>
      </c>
      <c r="D9" s="16">
        <v>2.93</v>
      </c>
      <c r="E9" s="17">
        <v>76</v>
      </c>
      <c r="F9" s="17">
        <v>95.4</v>
      </c>
      <c r="G9" s="16">
        <v>11.99</v>
      </c>
      <c r="H9" s="14">
        <v>25070162</v>
      </c>
    </row>
    <row r="10" ht="16.5" spans="1:8">
      <c r="A10" s="23" t="s">
        <v>1587</v>
      </c>
      <c r="B10" s="14">
        <v>420</v>
      </c>
      <c r="C10" s="15">
        <v>226.9</v>
      </c>
      <c r="D10" s="16">
        <v>4.89</v>
      </c>
      <c r="E10" s="17">
        <v>82.9</v>
      </c>
      <c r="F10" s="17">
        <v>95.8</v>
      </c>
      <c r="G10" s="16">
        <v>12.05</v>
      </c>
      <c r="H10" s="14">
        <v>25070195</v>
      </c>
    </row>
    <row r="11" ht="16.5" spans="1:8">
      <c r="A11" s="23" t="s">
        <v>1588</v>
      </c>
      <c r="B11" s="14">
        <v>711</v>
      </c>
      <c r="C11" s="15">
        <v>110.9</v>
      </c>
      <c r="D11" s="16">
        <v>2.99</v>
      </c>
      <c r="E11" s="17">
        <v>76.7</v>
      </c>
      <c r="F11" s="17">
        <v>95.5</v>
      </c>
      <c r="G11" s="16">
        <v>12.11</v>
      </c>
      <c r="H11" s="14">
        <v>25070163</v>
      </c>
    </row>
    <row r="12" ht="16.5" spans="1:8">
      <c r="A12" s="23" t="s">
        <v>1589</v>
      </c>
      <c r="B12" s="14">
        <v>591.4</v>
      </c>
      <c r="C12" s="15">
        <v>115.2</v>
      </c>
      <c r="D12" s="16">
        <v>2.83</v>
      </c>
      <c r="E12" s="17">
        <v>75.3</v>
      </c>
      <c r="F12" s="17">
        <v>94</v>
      </c>
      <c r="G12" s="16">
        <v>11.18</v>
      </c>
      <c r="H12" s="14">
        <v>25070136</v>
      </c>
    </row>
    <row r="13" ht="16.5" spans="1:8">
      <c r="A13" s="23" t="s">
        <v>1590</v>
      </c>
      <c r="B13" s="14">
        <v>503.4</v>
      </c>
      <c r="C13" s="15">
        <v>199.4</v>
      </c>
      <c r="D13" s="16">
        <v>5.63</v>
      </c>
      <c r="E13" s="17">
        <v>73.8</v>
      </c>
      <c r="F13" s="17">
        <v>91.6</v>
      </c>
      <c r="G13" s="16">
        <v>11.94</v>
      </c>
      <c r="H13" s="14">
        <v>25040247</v>
      </c>
    </row>
    <row r="14" ht="16.5" spans="1:8">
      <c r="A14" s="23" t="s">
        <v>1591</v>
      </c>
      <c r="B14" s="14">
        <v>479</v>
      </c>
      <c r="C14" s="15">
        <v>124</v>
      </c>
      <c r="D14" s="16">
        <v>3.36</v>
      </c>
      <c r="E14" s="17">
        <v>78.7</v>
      </c>
      <c r="F14" s="17">
        <v>95.2</v>
      </c>
      <c r="G14" s="16">
        <v>11.57</v>
      </c>
      <c r="H14" s="14">
        <v>25070171</v>
      </c>
    </row>
    <row r="15" ht="16.5" spans="1:8">
      <c r="A15" s="23" t="s">
        <v>1592</v>
      </c>
      <c r="B15" s="14">
        <v>525.6</v>
      </c>
      <c r="C15" s="15">
        <v>116.7</v>
      </c>
      <c r="D15" s="16">
        <v>3.31</v>
      </c>
      <c r="E15" s="17">
        <v>78.5</v>
      </c>
      <c r="F15" s="17">
        <v>95</v>
      </c>
      <c r="G15" s="16">
        <v>11.76</v>
      </c>
      <c r="H15" s="14">
        <v>25070172</v>
      </c>
    </row>
    <row r="16" ht="16.5" spans="1:8">
      <c r="A16" s="23" t="s">
        <v>1593</v>
      </c>
      <c r="B16" s="14">
        <v>526.2</v>
      </c>
      <c r="C16" s="15">
        <v>225.1</v>
      </c>
      <c r="D16" s="16">
        <v>4.49</v>
      </c>
      <c r="E16" s="17">
        <v>74.6</v>
      </c>
      <c r="F16" s="17">
        <v>91.3</v>
      </c>
      <c r="G16" s="16">
        <v>10.24</v>
      </c>
      <c r="H16" s="14">
        <v>25070022</v>
      </c>
    </row>
    <row r="17" ht="16.5" spans="1:8">
      <c r="A17" s="23" t="s">
        <v>1594</v>
      </c>
      <c r="B17" s="14">
        <v>826.4</v>
      </c>
      <c r="C17" s="15">
        <v>116.7</v>
      </c>
      <c r="D17" s="16">
        <v>3.09</v>
      </c>
      <c r="E17" s="17">
        <v>76.5</v>
      </c>
      <c r="F17" s="17">
        <v>94.8</v>
      </c>
      <c r="G17" s="16">
        <v>10.93</v>
      </c>
      <c r="H17" s="14">
        <v>25070124</v>
      </c>
    </row>
    <row r="18" ht="16.5" spans="1:8">
      <c r="A18" s="23" t="s">
        <v>1595</v>
      </c>
      <c r="B18" s="14">
        <v>794.2</v>
      </c>
      <c r="C18" s="15">
        <v>107.5</v>
      </c>
      <c r="D18" s="16">
        <v>2.74</v>
      </c>
      <c r="E18" s="17">
        <v>78.2</v>
      </c>
      <c r="F18" s="17">
        <v>94.3</v>
      </c>
      <c r="G18" s="16">
        <v>10.79</v>
      </c>
      <c r="H18" s="14">
        <v>25050194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18 B4:B6 B8:B16 C4:C18"/>
  </dataValidations>
  <pageMargins left="0.75" right="0.75" top="1" bottom="1" header="0.5" footer="0.5"/>
  <pageSetup paperSize="9" orientation="portrait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</cols>
  <sheetData>
    <row r="1" ht="16.5" spans="1:7">
      <c r="A1" s="116">
        <v>715</v>
      </c>
      <c r="B1" s="2">
        <f>SUM(B3:B30)</f>
        <v>10079.4</v>
      </c>
      <c r="C1" s="3" cm="1">
        <f t="array" ref="C1">SUMPRODUCT(C3:C30*B3:B30)/B1</f>
        <v>209.619624183979</v>
      </c>
      <c r="D1" s="4" cm="1">
        <f t="array" ref="D1">SUMPRODUCT(B3:B30*D3:D30)/B1</f>
        <v>4.97257614540548</v>
      </c>
      <c r="E1" s="3" cm="1">
        <f t="array" ref="E1">SUMPRODUCT(B3:B30*E3:E30)/B1</f>
        <v>83.0259598785642</v>
      </c>
      <c r="F1" s="3" cm="1">
        <f t="array" ref="F1">SUMPRODUCT(B3:B30*F3:F30)/B1</f>
        <v>95.569988292954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104" t="s">
        <v>930</v>
      </c>
      <c r="B3" s="105">
        <v>504.4</v>
      </c>
      <c r="C3" s="29">
        <v>209.2</v>
      </c>
      <c r="D3" s="106">
        <v>5.87</v>
      </c>
      <c r="E3" s="29">
        <v>68.3</v>
      </c>
      <c r="F3" s="29">
        <v>89.6</v>
      </c>
      <c r="G3" s="105">
        <v>25020393</v>
      </c>
    </row>
    <row r="4" ht="16.5" spans="1:7">
      <c r="A4" s="104" t="s">
        <v>1596</v>
      </c>
      <c r="B4" s="105">
        <v>524</v>
      </c>
      <c r="C4" s="29">
        <v>219</v>
      </c>
      <c r="D4" s="106">
        <v>4.86</v>
      </c>
      <c r="E4" s="29">
        <v>85.4</v>
      </c>
      <c r="F4" s="29">
        <v>97.1</v>
      </c>
      <c r="G4" s="105">
        <v>25040021</v>
      </c>
    </row>
    <row r="5" ht="16.5" spans="1:7">
      <c r="A5" s="104" t="s">
        <v>1597</v>
      </c>
      <c r="B5" s="105">
        <v>507.4</v>
      </c>
      <c r="C5" s="29">
        <v>206.7</v>
      </c>
      <c r="D5" s="106">
        <v>4.61</v>
      </c>
      <c r="E5" s="29">
        <v>90.1</v>
      </c>
      <c r="F5" s="29">
        <v>99</v>
      </c>
      <c r="G5" s="105">
        <v>25040054</v>
      </c>
    </row>
    <row r="6" ht="16.5" spans="1:7">
      <c r="A6" s="104" t="s">
        <v>1598</v>
      </c>
      <c r="B6" s="105">
        <v>318.4</v>
      </c>
      <c r="C6" s="29">
        <v>195.7</v>
      </c>
      <c r="D6" s="106">
        <v>4.86</v>
      </c>
      <c r="E6" s="29">
        <v>85.3</v>
      </c>
      <c r="F6" s="29">
        <v>97.4</v>
      </c>
      <c r="G6" s="105">
        <v>25040135</v>
      </c>
    </row>
    <row r="7" ht="16.5" spans="1:7">
      <c r="A7" s="104" t="s">
        <v>1599</v>
      </c>
      <c r="B7" s="105">
        <v>352.4</v>
      </c>
      <c r="C7" s="29">
        <v>214.6</v>
      </c>
      <c r="D7" s="106">
        <v>4.97</v>
      </c>
      <c r="E7" s="29">
        <v>87.6</v>
      </c>
      <c r="F7" s="29">
        <v>97.9</v>
      </c>
      <c r="G7" s="105">
        <v>25040241</v>
      </c>
    </row>
    <row r="8" ht="16.5" spans="1:7">
      <c r="A8" s="104" t="s">
        <v>1600</v>
      </c>
      <c r="B8" s="105">
        <v>654.4</v>
      </c>
      <c r="C8" s="29">
        <v>217.6</v>
      </c>
      <c r="D8" s="106">
        <v>4.61</v>
      </c>
      <c r="E8" s="29">
        <v>89.3</v>
      </c>
      <c r="F8" s="29">
        <v>98.2</v>
      </c>
      <c r="G8" s="105">
        <v>25040278</v>
      </c>
    </row>
    <row r="9" ht="16.5" spans="1:7">
      <c r="A9" s="104" t="s">
        <v>1601</v>
      </c>
      <c r="B9" s="105">
        <v>509.8</v>
      </c>
      <c r="C9" s="29">
        <v>216.9</v>
      </c>
      <c r="D9" s="106">
        <v>5.02</v>
      </c>
      <c r="E9" s="29">
        <v>83.7</v>
      </c>
      <c r="F9" s="29">
        <v>95.7</v>
      </c>
      <c r="G9" s="105">
        <v>25040283</v>
      </c>
    </row>
    <row r="10" ht="16.5" spans="1:7">
      <c r="A10" s="104" t="s">
        <v>1602</v>
      </c>
      <c r="B10" s="105">
        <v>513.4</v>
      </c>
      <c r="C10" s="29">
        <v>202.3</v>
      </c>
      <c r="D10" s="106">
        <v>4.97</v>
      </c>
      <c r="E10" s="29">
        <v>85.4</v>
      </c>
      <c r="F10" s="29">
        <v>97</v>
      </c>
      <c r="G10" s="105">
        <v>25040300</v>
      </c>
    </row>
    <row r="11" ht="16.5" spans="1:7">
      <c r="A11" s="104" t="s">
        <v>1603</v>
      </c>
      <c r="B11" s="105">
        <v>509.4</v>
      </c>
      <c r="C11" s="29">
        <v>208</v>
      </c>
      <c r="D11" s="106">
        <v>4.46</v>
      </c>
      <c r="E11" s="29">
        <v>86.5</v>
      </c>
      <c r="F11" s="29">
        <v>97.1</v>
      </c>
      <c r="G11" s="105">
        <v>25040320</v>
      </c>
    </row>
    <row r="12" ht="16.5" spans="1:7">
      <c r="A12" s="104" t="s">
        <v>1604</v>
      </c>
      <c r="B12" s="105">
        <v>474</v>
      </c>
      <c r="C12" s="29">
        <v>208.6</v>
      </c>
      <c r="D12" s="106">
        <v>4.75</v>
      </c>
      <c r="E12" s="29">
        <v>87.5</v>
      </c>
      <c r="F12" s="29">
        <v>97.8</v>
      </c>
      <c r="G12" s="105">
        <v>25040376</v>
      </c>
    </row>
    <row r="13" ht="16.5" spans="1:7">
      <c r="A13" s="104" t="s">
        <v>1605</v>
      </c>
      <c r="B13" s="105">
        <v>496.6</v>
      </c>
      <c r="C13" s="29">
        <v>208.3</v>
      </c>
      <c r="D13" s="106">
        <v>5</v>
      </c>
      <c r="E13" s="29">
        <v>86.3</v>
      </c>
      <c r="F13" s="29">
        <v>97</v>
      </c>
      <c r="G13" s="105">
        <v>25040378</v>
      </c>
    </row>
    <row r="14" ht="16.5" spans="1:7">
      <c r="A14" s="104" t="s">
        <v>1606</v>
      </c>
      <c r="B14" s="105">
        <v>477.2</v>
      </c>
      <c r="C14" s="29">
        <v>211.1</v>
      </c>
      <c r="D14" s="106">
        <v>4.38</v>
      </c>
      <c r="E14" s="29">
        <v>90.9</v>
      </c>
      <c r="F14" s="29">
        <v>98.9</v>
      </c>
      <c r="G14" s="105">
        <v>25050055</v>
      </c>
    </row>
    <row r="15" ht="16.5" spans="1:7">
      <c r="A15" s="104" t="s">
        <v>1607</v>
      </c>
      <c r="B15" s="105">
        <v>474.4</v>
      </c>
      <c r="C15" s="29">
        <v>213.1</v>
      </c>
      <c r="D15" s="106">
        <v>4.38</v>
      </c>
      <c r="E15" s="29">
        <v>91</v>
      </c>
      <c r="F15" s="29">
        <v>98.9</v>
      </c>
      <c r="G15" s="105">
        <v>25050056</v>
      </c>
    </row>
    <row r="16" ht="16.5" spans="1:7">
      <c r="A16" s="104" t="s">
        <v>1608</v>
      </c>
      <c r="B16" s="105">
        <v>733.4</v>
      </c>
      <c r="C16" s="29">
        <v>190.6</v>
      </c>
      <c r="D16" s="106">
        <v>5.24</v>
      </c>
      <c r="E16" s="29">
        <v>75.5</v>
      </c>
      <c r="F16" s="29">
        <v>92.2</v>
      </c>
      <c r="G16" s="105">
        <v>25050142</v>
      </c>
    </row>
    <row r="17" ht="16.5" spans="1:7">
      <c r="A17" s="104" t="s">
        <v>1609</v>
      </c>
      <c r="B17" s="105">
        <v>733.8</v>
      </c>
      <c r="C17" s="29">
        <v>214.3</v>
      </c>
      <c r="D17" s="106">
        <v>5.19</v>
      </c>
      <c r="E17" s="29">
        <v>88.7</v>
      </c>
      <c r="F17" s="29">
        <v>97.5</v>
      </c>
      <c r="G17" s="105">
        <v>25050167</v>
      </c>
    </row>
    <row r="18" ht="16.5" spans="1:7">
      <c r="A18" s="104" t="s">
        <v>1610</v>
      </c>
      <c r="B18" s="105">
        <v>742.6</v>
      </c>
      <c r="C18" s="29">
        <v>206.5</v>
      </c>
      <c r="D18" s="106">
        <v>5.6</v>
      </c>
      <c r="E18" s="29">
        <v>79.2</v>
      </c>
      <c r="F18" s="29">
        <v>93.7</v>
      </c>
      <c r="G18" s="105">
        <v>25050155</v>
      </c>
    </row>
    <row r="19" ht="16.5" spans="1:7">
      <c r="A19" s="104" t="s">
        <v>1611</v>
      </c>
      <c r="B19" s="105">
        <v>494.8</v>
      </c>
      <c r="C19" s="29">
        <v>213.7</v>
      </c>
      <c r="D19" s="106">
        <v>4.69</v>
      </c>
      <c r="E19" s="29">
        <v>70.7</v>
      </c>
      <c r="F19" s="29">
        <v>89.2</v>
      </c>
      <c r="G19" s="105">
        <v>25070021</v>
      </c>
    </row>
    <row r="20" ht="16.5" spans="1:7">
      <c r="A20" s="104" t="s">
        <v>1612</v>
      </c>
      <c r="B20" s="105">
        <v>489</v>
      </c>
      <c r="C20" s="29">
        <v>216.8</v>
      </c>
      <c r="D20" s="106">
        <v>4.97</v>
      </c>
      <c r="E20" s="29">
        <v>82.9</v>
      </c>
      <c r="F20" s="29">
        <v>95.1</v>
      </c>
      <c r="G20" s="105">
        <v>25070054</v>
      </c>
    </row>
    <row r="21" ht="16.5" spans="1:7">
      <c r="A21" s="104" t="s">
        <v>1613</v>
      </c>
      <c r="B21" s="105">
        <v>570</v>
      </c>
      <c r="C21" s="29">
        <v>211.7</v>
      </c>
      <c r="D21" s="106">
        <v>5.46</v>
      </c>
      <c r="E21" s="29">
        <v>68.8</v>
      </c>
      <c r="F21" s="29">
        <v>89.7</v>
      </c>
      <c r="G21" s="105">
        <v>25070120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4:B11 B14:B21 C3:C21"/>
  </dataValidations>
  <pageMargins left="0.75" right="0.75" top="1" bottom="1" header="0.5" footer="0.5"/>
  <pageSetup paperSize="9" orientation="portrait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workbookViewId="0">
      <selection activeCell="O28" sqref="O28"/>
    </sheetView>
  </sheetViews>
  <sheetFormatPr defaultColWidth="9" defaultRowHeight="13.5"/>
  <cols>
    <col min="1" max="1" width="15.625" customWidth="1"/>
    <col min="8" max="8" width="9.375"/>
    <col min="11" max="11" width="15.625" customWidth="1"/>
    <col min="18" max="18" width="9.375"/>
  </cols>
  <sheetData>
    <row r="1" ht="16.5" spans="1:18">
      <c r="A1" s="116">
        <v>716</v>
      </c>
      <c r="B1" s="2">
        <f>SUM(B3:B30)</f>
        <v>9617.2</v>
      </c>
      <c r="C1" s="3" cm="1">
        <f t="array" ref="C1">SUMPRODUCT(C3:C30*B3:B30)/B1</f>
        <v>149.26648712723</v>
      </c>
      <c r="D1" s="4" cm="1">
        <f t="array" ref="D1">SUMPRODUCT(B3:B30*D3:D30)/B1</f>
        <v>3.78069354905794</v>
      </c>
      <c r="E1" s="3" cm="1">
        <f t="array" ref="E1">SUMPRODUCT(B3:B30*E3:E30)/B1</f>
        <v>77.6996818200724</v>
      </c>
      <c r="F1" s="3" cm="1">
        <f t="array" ref="F1">SUMPRODUCT(B3:B30*F3:F30)/B1</f>
        <v>94.0390071954415</v>
      </c>
      <c r="G1" s="3" cm="1">
        <f t="array" ref="G1">SUMPRODUCT(B3:B30*G3:G30)/B1</f>
        <v>11.7253464625879</v>
      </c>
      <c r="K1" s="116">
        <v>716</v>
      </c>
      <c r="L1" s="2">
        <f>SUM(L3:L30)</f>
        <v>10004.44</v>
      </c>
      <c r="M1" s="3" cm="1">
        <f t="array" ref="M1">SUMPRODUCT(M3:M30*L3:L30)/L1</f>
        <v>143.488856947515</v>
      </c>
      <c r="N1" s="4" cm="1">
        <f t="array" ref="N1">SUMPRODUCT(L3:L30*N3:N30)/L1</f>
        <v>3.6343549464038</v>
      </c>
      <c r="O1" s="3" cm="1">
        <f t="array" ref="O1">SUMPRODUCT(L3:L30*O3:O30)/L1</f>
        <v>74.6921746744446</v>
      </c>
      <c r="P1" s="3" cm="1">
        <f t="array" ref="P1">SUMPRODUCT(L3:L30*P3:P30)/L1</f>
        <v>90.3990568187725</v>
      </c>
      <c r="Q1" s="3" cm="1">
        <f t="array" ref="Q1">SUMPRODUCT(L3:L30*Q3:Q30)/L1</f>
        <v>11.2714956559288</v>
      </c>
    </row>
    <row r="2" ht="16.5" spans="1:1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  <c r="K2" s="6">
        <v>140</v>
      </c>
      <c r="L2" s="6" t="s">
        <v>0</v>
      </c>
      <c r="M2" s="6" t="s">
        <v>1</v>
      </c>
      <c r="N2" s="6" t="s">
        <v>2</v>
      </c>
      <c r="O2" s="6" t="s">
        <v>3</v>
      </c>
      <c r="P2" s="6" t="s">
        <v>4</v>
      </c>
      <c r="Q2" s="6" t="s">
        <v>19</v>
      </c>
    </row>
    <row r="3" ht="16.5" spans="1:18">
      <c r="A3" s="86" t="s">
        <v>1614</v>
      </c>
      <c r="B3" s="14">
        <v>482.2</v>
      </c>
      <c r="C3" s="15">
        <v>159</v>
      </c>
      <c r="D3" s="16">
        <v>4.2</v>
      </c>
      <c r="E3" s="17">
        <v>75.2</v>
      </c>
      <c r="F3" s="17">
        <v>92.7</v>
      </c>
      <c r="G3" s="16">
        <v>12.19</v>
      </c>
      <c r="H3" s="24">
        <v>25070214</v>
      </c>
      <c r="K3" s="23" t="s">
        <v>1615</v>
      </c>
      <c r="L3" s="14">
        <v>472.2</v>
      </c>
      <c r="M3" s="15">
        <v>147.4</v>
      </c>
      <c r="N3" s="16">
        <v>3.94</v>
      </c>
      <c r="O3" s="17">
        <v>75.7</v>
      </c>
      <c r="P3" s="17">
        <v>93</v>
      </c>
      <c r="Q3" s="16">
        <v>12.81</v>
      </c>
      <c r="R3" s="24">
        <v>25070215</v>
      </c>
    </row>
    <row r="4" ht="16.5" spans="1:18">
      <c r="A4" s="86" t="s">
        <v>1615</v>
      </c>
      <c r="B4" s="14">
        <v>472.2</v>
      </c>
      <c r="C4" s="15">
        <v>147.4</v>
      </c>
      <c r="D4" s="16">
        <v>3.94</v>
      </c>
      <c r="E4" s="17">
        <v>75.7</v>
      </c>
      <c r="F4" s="17">
        <v>93</v>
      </c>
      <c r="G4" s="16">
        <v>12.81</v>
      </c>
      <c r="H4" s="24">
        <v>25070215</v>
      </c>
      <c r="K4" s="23" t="s">
        <v>1616</v>
      </c>
      <c r="L4" s="14">
        <v>372.2</v>
      </c>
      <c r="M4" s="15">
        <v>149.1</v>
      </c>
      <c r="N4" s="16">
        <v>3.97</v>
      </c>
      <c r="O4" s="17">
        <v>75.3</v>
      </c>
      <c r="P4" s="17">
        <v>93</v>
      </c>
      <c r="Q4" s="16">
        <v>11.95</v>
      </c>
      <c r="R4" s="24">
        <v>25070216</v>
      </c>
    </row>
    <row r="5" ht="16.5" spans="1:18">
      <c r="A5" s="86" t="s">
        <v>1616</v>
      </c>
      <c r="B5" s="14">
        <v>372.2</v>
      </c>
      <c r="C5" s="15">
        <v>149.1</v>
      </c>
      <c r="D5" s="16">
        <v>3.97</v>
      </c>
      <c r="E5" s="17">
        <v>75.3</v>
      </c>
      <c r="F5" s="17">
        <v>93</v>
      </c>
      <c r="G5" s="16">
        <v>11.95</v>
      </c>
      <c r="H5" s="24">
        <v>25070216</v>
      </c>
      <c r="K5" s="23" t="s">
        <v>1614</v>
      </c>
      <c r="L5" s="14">
        <v>482.2</v>
      </c>
      <c r="M5" s="15">
        <v>159</v>
      </c>
      <c r="N5" s="16">
        <v>4.2</v>
      </c>
      <c r="O5" s="17">
        <v>75.2</v>
      </c>
      <c r="P5" s="17">
        <v>92.7</v>
      </c>
      <c r="Q5" s="16">
        <v>12.19</v>
      </c>
      <c r="R5" s="24">
        <v>25070214</v>
      </c>
    </row>
    <row r="6" ht="16.5" spans="1:18">
      <c r="A6" s="86" t="s">
        <v>1617</v>
      </c>
      <c r="B6" s="14">
        <v>476.4</v>
      </c>
      <c r="C6" s="15">
        <v>102.6</v>
      </c>
      <c r="D6" s="16">
        <v>2.9</v>
      </c>
      <c r="E6" s="17">
        <v>82.5</v>
      </c>
      <c r="F6" s="17">
        <v>97.1</v>
      </c>
      <c r="G6" s="16">
        <v>13.52</v>
      </c>
      <c r="H6" s="24">
        <v>25070217</v>
      </c>
      <c r="K6" s="23" t="s">
        <v>1618</v>
      </c>
      <c r="L6" s="14">
        <v>467.8</v>
      </c>
      <c r="M6" s="15">
        <v>147.4</v>
      </c>
      <c r="N6" s="16">
        <v>3.65</v>
      </c>
      <c r="O6" s="17">
        <v>74.4</v>
      </c>
      <c r="P6" s="17">
        <v>92.3</v>
      </c>
      <c r="Q6" s="16">
        <v>10.44</v>
      </c>
      <c r="R6" s="24">
        <v>25040509</v>
      </c>
    </row>
    <row r="7" ht="16.5" spans="1:18">
      <c r="A7" s="86" t="s">
        <v>1619</v>
      </c>
      <c r="B7" s="14">
        <v>889.4</v>
      </c>
      <c r="C7" s="15">
        <v>102.4</v>
      </c>
      <c r="D7" s="16">
        <v>2.77</v>
      </c>
      <c r="E7" s="17">
        <v>81.7</v>
      </c>
      <c r="F7" s="17">
        <v>96.6</v>
      </c>
      <c r="G7" s="16">
        <v>12.93</v>
      </c>
      <c r="H7" s="24">
        <v>25070218</v>
      </c>
      <c r="K7" s="23" t="s">
        <v>1620</v>
      </c>
      <c r="L7" s="14">
        <v>484.2</v>
      </c>
      <c r="M7" s="15">
        <v>147.5</v>
      </c>
      <c r="N7" s="16">
        <v>3.67</v>
      </c>
      <c r="O7" s="17">
        <v>74.3</v>
      </c>
      <c r="P7" s="17">
        <v>92.4</v>
      </c>
      <c r="Q7" s="16">
        <v>10.93</v>
      </c>
      <c r="R7" s="24">
        <v>25040507</v>
      </c>
    </row>
    <row r="8" ht="16.5" spans="1:18">
      <c r="A8" s="86" t="s">
        <v>1621</v>
      </c>
      <c r="B8" s="14">
        <v>797.8</v>
      </c>
      <c r="C8" s="15">
        <v>115.7</v>
      </c>
      <c r="D8" s="16">
        <v>2.87</v>
      </c>
      <c r="E8" s="17">
        <v>78.1</v>
      </c>
      <c r="F8" s="17">
        <v>94.7</v>
      </c>
      <c r="G8" s="16">
        <v>10.44</v>
      </c>
      <c r="H8" s="24">
        <v>25070219</v>
      </c>
      <c r="K8" s="23" t="s">
        <v>1622</v>
      </c>
      <c r="L8" s="14">
        <v>513.4</v>
      </c>
      <c r="M8" s="15">
        <v>145.3</v>
      </c>
      <c r="N8" s="16">
        <v>3.67</v>
      </c>
      <c r="O8" s="17">
        <v>74.9</v>
      </c>
      <c r="P8" s="17">
        <v>92.5</v>
      </c>
      <c r="Q8" s="16">
        <v>11.05</v>
      </c>
      <c r="R8" s="24">
        <v>25040508</v>
      </c>
    </row>
    <row r="9" ht="16.5" spans="1:18">
      <c r="A9" s="86" t="s">
        <v>1623</v>
      </c>
      <c r="B9" s="14">
        <v>763.8</v>
      </c>
      <c r="C9" s="15">
        <v>178</v>
      </c>
      <c r="D9" s="16">
        <v>4.66</v>
      </c>
      <c r="E9" s="17">
        <v>72.1</v>
      </c>
      <c r="F9" s="17">
        <v>91.4</v>
      </c>
      <c r="G9" s="16">
        <v>11.9</v>
      </c>
      <c r="H9" s="24">
        <v>25070158</v>
      </c>
      <c r="K9" s="23" t="s">
        <v>1624</v>
      </c>
      <c r="L9" s="14">
        <v>802</v>
      </c>
      <c r="M9" s="15">
        <v>214.2</v>
      </c>
      <c r="N9" s="16">
        <v>4.46</v>
      </c>
      <c r="O9" s="17">
        <v>83.3</v>
      </c>
      <c r="P9" s="17">
        <v>95.3</v>
      </c>
      <c r="Q9" s="16">
        <v>12.03</v>
      </c>
      <c r="R9" s="24">
        <v>25070180</v>
      </c>
    </row>
    <row r="10" ht="16.5" spans="1:18">
      <c r="A10" s="121" t="s">
        <v>1625</v>
      </c>
      <c r="B10" s="14">
        <v>553.8</v>
      </c>
      <c r="C10" s="15">
        <v>136.8</v>
      </c>
      <c r="D10" s="16">
        <v>3.28</v>
      </c>
      <c r="E10" s="17">
        <v>71.2</v>
      </c>
      <c r="F10" s="17">
        <v>90.4</v>
      </c>
      <c r="G10" s="16">
        <v>10.59</v>
      </c>
      <c r="H10" s="24">
        <v>25040548</v>
      </c>
      <c r="K10" s="23" t="s">
        <v>1625</v>
      </c>
      <c r="L10" s="14">
        <v>553.8</v>
      </c>
      <c r="M10" s="15">
        <v>136.8</v>
      </c>
      <c r="N10" s="16">
        <v>3.28</v>
      </c>
      <c r="O10" s="17">
        <v>71.2</v>
      </c>
      <c r="P10" s="17">
        <v>90.4</v>
      </c>
      <c r="Q10" s="16">
        <v>10.59</v>
      </c>
      <c r="R10" s="24">
        <v>25040548</v>
      </c>
    </row>
    <row r="11" ht="16.5" spans="1:18">
      <c r="A11" s="86" t="s">
        <v>1618</v>
      </c>
      <c r="B11" s="14">
        <v>467.8</v>
      </c>
      <c r="C11" s="15">
        <v>147.4</v>
      </c>
      <c r="D11" s="16">
        <v>3.65</v>
      </c>
      <c r="E11" s="17">
        <v>74.4</v>
      </c>
      <c r="F11" s="17">
        <v>92.3</v>
      </c>
      <c r="G11" s="16">
        <v>10.44</v>
      </c>
      <c r="H11" s="24">
        <v>25040509</v>
      </c>
      <c r="K11" s="23" t="s">
        <v>1617</v>
      </c>
      <c r="L11" s="14">
        <v>476.4</v>
      </c>
      <c r="M11" s="15">
        <v>102.6</v>
      </c>
      <c r="N11" s="16">
        <v>2.9</v>
      </c>
      <c r="O11" s="17">
        <v>82.5</v>
      </c>
      <c r="P11" s="17">
        <v>97.1</v>
      </c>
      <c r="Q11" s="16">
        <v>13.52</v>
      </c>
      <c r="R11" s="24">
        <v>25070217</v>
      </c>
    </row>
    <row r="12" ht="16.5" spans="1:18">
      <c r="A12" s="86" t="s">
        <v>1620</v>
      </c>
      <c r="B12" s="14">
        <v>484.2</v>
      </c>
      <c r="C12" s="15">
        <v>147.5</v>
      </c>
      <c r="D12" s="16">
        <v>3.67</v>
      </c>
      <c r="E12" s="17">
        <v>74.3</v>
      </c>
      <c r="F12" s="17">
        <v>92.4</v>
      </c>
      <c r="G12" s="16">
        <v>10.93</v>
      </c>
      <c r="H12" s="24">
        <v>25040507</v>
      </c>
      <c r="K12" s="23" t="s">
        <v>1623</v>
      </c>
      <c r="L12" s="14">
        <v>763.8</v>
      </c>
      <c r="M12" s="15">
        <v>178</v>
      </c>
      <c r="N12" s="16">
        <v>4.66</v>
      </c>
      <c r="O12" s="17">
        <v>72.1</v>
      </c>
      <c r="P12" s="17">
        <v>91.4</v>
      </c>
      <c r="Q12" s="16">
        <v>11.9</v>
      </c>
      <c r="R12" s="24">
        <v>25070158</v>
      </c>
    </row>
    <row r="13" ht="16.5" spans="1:18">
      <c r="A13" s="86" t="s">
        <v>1622</v>
      </c>
      <c r="B13" s="14">
        <v>513.4</v>
      </c>
      <c r="C13" s="15">
        <v>145.3</v>
      </c>
      <c r="D13" s="16">
        <v>3.67</v>
      </c>
      <c r="E13" s="17">
        <v>74.9</v>
      </c>
      <c r="F13" s="17">
        <v>92.5</v>
      </c>
      <c r="G13" s="16">
        <v>11.05</v>
      </c>
      <c r="H13" s="24">
        <v>25040508</v>
      </c>
      <c r="K13" s="86" t="s">
        <v>1626</v>
      </c>
      <c r="L13" s="53">
        <v>400.2</v>
      </c>
      <c r="M13" s="17">
        <v>216</v>
      </c>
      <c r="N13" s="120">
        <v>5.13</v>
      </c>
      <c r="O13" s="17">
        <v>83.4</v>
      </c>
      <c r="P13" s="17">
        <v>95.6</v>
      </c>
      <c r="Q13" s="120">
        <v>11.89</v>
      </c>
      <c r="R13" s="24">
        <v>25040185</v>
      </c>
    </row>
    <row r="14" ht="16.5" spans="1:18">
      <c r="A14" s="86" t="s">
        <v>1627</v>
      </c>
      <c r="B14" s="14">
        <v>503.2</v>
      </c>
      <c r="C14" s="15">
        <v>101</v>
      </c>
      <c r="D14" s="16">
        <v>3.03</v>
      </c>
      <c r="E14" s="17">
        <v>81.7</v>
      </c>
      <c r="F14" s="17">
        <v>97.1</v>
      </c>
      <c r="G14" s="16">
        <v>13.22</v>
      </c>
      <c r="H14" s="24">
        <v>25070201</v>
      </c>
      <c r="K14" s="23" t="s">
        <v>1619</v>
      </c>
      <c r="L14" s="14">
        <v>889.4</v>
      </c>
      <c r="M14" s="15">
        <v>102.4</v>
      </c>
      <c r="N14" s="16">
        <v>2.77</v>
      </c>
      <c r="O14" s="17">
        <v>81.7</v>
      </c>
      <c r="P14" s="17">
        <v>96.6</v>
      </c>
      <c r="Q14" s="16">
        <v>12.93</v>
      </c>
      <c r="R14" s="24">
        <v>25070218</v>
      </c>
    </row>
    <row r="15" ht="16.5" spans="1:18">
      <c r="A15" s="86" t="s">
        <v>1624</v>
      </c>
      <c r="B15" s="14">
        <v>802</v>
      </c>
      <c r="C15" s="15">
        <v>214.2</v>
      </c>
      <c r="D15" s="16">
        <v>4.46</v>
      </c>
      <c r="E15" s="17">
        <v>83.3</v>
      </c>
      <c r="F15" s="17">
        <v>95.3</v>
      </c>
      <c r="G15" s="16">
        <v>12.03</v>
      </c>
      <c r="H15" s="24">
        <v>25070180</v>
      </c>
      <c r="K15" s="23" t="s">
        <v>1628</v>
      </c>
      <c r="L15" s="14">
        <v>433.2</v>
      </c>
      <c r="M15" s="15">
        <v>134.4</v>
      </c>
      <c r="N15" s="16">
        <v>3.49</v>
      </c>
      <c r="O15" s="17">
        <v>78.1</v>
      </c>
      <c r="P15" s="17">
        <v>94.7</v>
      </c>
      <c r="Q15" s="16">
        <v>10.5</v>
      </c>
      <c r="R15" s="24">
        <v>25050110</v>
      </c>
    </row>
    <row r="16" ht="16.5" spans="1:18">
      <c r="A16" s="86" t="s">
        <v>1626</v>
      </c>
      <c r="B16" s="53">
        <v>400.2</v>
      </c>
      <c r="C16" s="17">
        <v>216</v>
      </c>
      <c r="D16" s="120">
        <v>5.13</v>
      </c>
      <c r="E16" s="17">
        <v>83.4</v>
      </c>
      <c r="F16" s="17">
        <v>95.6</v>
      </c>
      <c r="G16" s="120">
        <v>11.89</v>
      </c>
      <c r="H16" s="24">
        <v>25040185</v>
      </c>
      <c r="K16" s="23" t="s">
        <v>1627</v>
      </c>
      <c r="L16" s="14">
        <v>503.2</v>
      </c>
      <c r="M16" s="15">
        <v>101</v>
      </c>
      <c r="N16" s="16">
        <v>3.03</v>
      </c>
      <c r="O16" s="17">
        <v>81.7</v>
      </c>
      <c r="P16" s="17">
        <v>97.1</v>
      </c>
      <c r="Q16" s="16">
        <v>13.22</v>
      </c>
      <c r="R16" s="24">
        <v>25070201</v>
      </c>
    </row>
    <row r="17" ht="16.5" spans="1:18">
      <c r="A17" s="86" t="s">
        <v>1629</v>
      </c>
      <c r="B17" s="122">
        <v>486.2</v>
      </c>
      <c r="C17" s="123">
        <v>199.3</v>
      </c>
      <c r="D17" s="124">
        <v>5.35</v>
      </c>
      <c r="E17" s="125">
        <v>76.9</v>
      </c>
      <c r="F17" s="125">
        <v>93.4</v>
      </c>
      <c r="G17" s="124">
        <v>11.23</v>
      </c>
      <c r="H17" s="105">
        <v>25040080</v>
      </c>
      <c r="K17" s="23" t="s">
        <v>1629</v>
      </c>
      <c r="L17" s="122">
        <v>486.2</v>
      </c>
      <c r="M17" s="123">
        <v>199.3</v>
      </c>
      <c r="N17" s="124">
        <v>5.35</v>
      </c>
      <c r="O17" s="125">
        <v>76.9</v>
      </c>
      <c r="P17" s="125">
        <v>93.4</v>
      </c>
      <c r="Q17" s="124">
        <v>11.23</v>
      </c>
      <c r="R17" s="105">
        <v>25040080</v>
      </c>
    </row>
    <row r="18" ht="16.5" spans="1:18">
      <c r="A18" s="86" t="s">
        <v>1630</v>
      </c>
      <c r="B18" s="14">
        <v>199.4</v>
      </c>
      <c r="C18" s="15">
        <v>199.8</v>
      </c>
      <c r="D18" s="16">
        <v>5.27</v>
      </c>
      <c r="E18" s="17">
        <v>77.6</v>
      </c>
      <c r="F18" s="17">
        <v>93.7</v>
      </c>
      <c r="G18" s="16">
        <v>11.76</v>
      </c>
      <c r="H18" s="24">
        <v>25040079</v>
      </c>
      <c r="K18" s="23" t="s">
        <v>1630</v>
      </c>
      <c r="L18" s="14">
        <v>199.4</v>
      </c>
      <c r="M18" s="15">
        <v>199.8</v>
      </c>
      <c r="N18" s="16">
        <v>5.27</v>
      </c>
      <c r="O18" s="17">
        <v>77.6</v>
      </c>
      <c r="P18" s="17">
        <v>93.7</v>
      </c>
      <c r="Q18" s="16">
        <v>11.76</v>
      </c>
      <c r="R18" s="24">
        <v>25040079</v>
      </c>
    </row>
    <row r="19" ht="16.5" spans="1:18">
      <c r="A19" s="86" t="s">
        <v>1628</v>
      </c>
      <c r="B19" s="14">
        <v>433.2</v>
      </c>
      <c r="C19" s="15">
        <v>134.4</v>
      </c>
      <c r="D19" s="16">
        <v>3.49</v>
      </c>
      <c r="E19" s="17">
        <v>78.1</v>
      </c>
      <c r="F19" s="17">
        <v>94.7</v>
      </c>
      <c r="G19" s="16">
        <v>10.5</v>
      </c>
      <c r="H19" s="24">
        <v>25050110</v>
      </c>
      <c r="K19" s="23" t="s">
        <v>1621</v>
      </c>
      <c r="L19" s="14">
        <v>797.8</v>
      </c>
      <c r="M19" s="15">
        <v>115.7</v>
      </c>
      <c r="N19" s="16">
        <v>2.87</v>
      </c>
      <c r="O19" s="17">
        <v>78.1</v>
      </c>
      <c r="P19" s="17">
        <v>94.7</v>
      </c>
      <c r="Q19" s="16">
        <v>10.44</v>
      </c>
      <c r="R19" s="24">
        <v>25070219</v>
      </c>
    </row>
    <row r="20" ht="16.5" spans="1:18">
      <c r="A20" s="86" t="s">
        <v>1631</v>
      </c>
      <c r="B20" s="14">
        <v>519.8</v>
      </c>
      <c r="C20" s="15">
        <v>136.2</v>
      </c>
      <c r="D20" s="16">
        <v>3.46</v>
      </c>
      <c r="E20" s="17">
        <v>79.3</v>
      </c>
      <c r="F20" s="17">
        <v>95.2</v>
      </c>
      <c r="G20" s="16">
        <v>11.36</v>
      </c>
      <c r="H20" s="24">
        <v>25050109</v>
      </c>
      <c r="K20" s="23" t="s">
        <v>1631</v>
      </c>
      <c r="L20" s="14">
        <v>519.8</v>
      </c>
      <c r="M20" s="15">
        <v>136.2</v>
      </c>
      <c r="N20" s="16">
        <v>3.46</v>
      </c>
      <c r="O20" s="17">
        <v>79.3</v>
      </c>
      <c r="P20" s="17">
        <v>95.2</v>
      </c>
      <c r="Q20" s="16">
        <v>11.36</v>
      </c>
      <c r="R20" s="24">
        <v>25050109</v>
      </c>
    </row>
    <row r="21" spans="1:18">
      <c r="K21" s="22">
        <v>20250707</v>
      </c>
      <c r="L21" s="22">
        <v>153.8</v>
      </c>
    </row>
    <row r="22" spans="1:18">
      <c r="K22" s="22">
        <v>20250709</v>
      </c>
      <c r="L22" s="22">
        <v>139.4</v>
      </c>
    </row>
    <row r="23" spans="1:18">
      <c r="K23" s="22">
        <v>20250701</v>
      </c>
      <c r="L23" s="22">
        <v>24.04</v>
      </c>
    </row>
    <row r="24" spans="1:18">
      <c r="K24" s="22">
        <v>20250702</v>
      </c>
      <c r="L24" s="22">
        <v>70</v>
      </c>
    </row>
  </sheetData>
  <conditionalFormatting sqref="A1:A2">
    <cfRule type="duplicateValues" dxfId="0" priority="2"/>
  </conditionalFormatting>
  <conditionalFormatting sqref="K1:K2">
    <cfRule type="duplicateValues" dxfId="0" priority="1"/>
  </conditionalFormatting>
  <dataValidations count="1">
    <dataValidation allowBlank="1" showInputMessage="1" showErrorMessage="1" sqref="C11:C13 M6:M8 L3:M5 B3:C10 B14:C20 L9:M20"/>
  </dataValidations>
  <pageMargins left="0.75" right="0.75" top="1" bottom="1" header="0.5" footer="0.5"/>
  <pageSetup paperSize="9" orientation="portrait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K25" sqref="K25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717</v>
      </c>
      <c r="B1" s="2">
        <f>SUM(B3:B30)</f>
        <v>5068</v>
      </c>
      <c r="C1" s="3" cm="1">
        <f t="array" ref="C1">SUMPRODUCT(C3:C30*B3:B30)/B1</f>
        <v>250.955777426993</v>
      </c>
      <c r="D1" s="4" cm="1">
        <f t="array" ref="D1">SUMPRODUCT(B3:B30*D3:D30)/B1</f>
        <v>4.9054818468824</v>
      </c>
      <c r="E1" s="3" cm="1">
        <f t="array" ref="E1">SUMPRODUCT(B3:B30*E3:E30)/B1</f>
        <v>89.7578768745067</v>
      </c>
      <c r="F1" s="3" cm="1">
        <f t="array" ref="F1">SUMPRODUCT(B3:B30*F3:F30)/B1</f>
        <v>97.2198342541436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54" t="s">
        <v>1632</v>
      </c>
      <c r="B3" s="9">
        <v>364.8</v>
      </c>
      <c r="C3" s="10">
        <v>271.8</v>
      </c>
      <c r="D3" s="11">
        <v>5.05</v>
      </c>
      <c r="E3" s="12">
        <v>95.8</v>
      </c>
      <c r="F3" s="12">
        <v>99.3</v>
      </c>
      <c r="G3" s="34">
        <v>24090095</v>
      </c>
    </row>
    <row r="4" ht="16.5" spans="1:7">
      <c r="A4" s="54" t="s">
        <v>1633</v>
      </c>
      <c r="B4" s="9">
        <v>569.8</v>
      </c>
      <c r="C4" s="10">
        <v>230.6</v>
      </c>
      <c r="D4" s="11">
        <v>4.29</v>
      </c>
      <c r="E4" s="12">
        <v>86.8</v>
      </c>
      <c r="F4" s="12">
        <v>96.8</v>
      </c>
      <c r="G4" s="34">
        <v>25060316</v>
      </c>
    </row>
    <row r="5" ht="16.5" spans="1:7">
      <c r="A5" s="54" t="s">
        <v>1634</v>
      </c>
      <c r="B5" s="9">
        <v>382.4</v>
      </c>
      <c r="C5" s="10">
        <v>283.8</v>
      </c>
      <c r="D5" s="11">
        <v>5.16</v>
      </c>
      <c r="E5" s="12">
        <v>95.6</v>
      </c>
      <c r="F5" s="12">
        <v>99.2</v>
      </c>
      <c r="G5" s="34">
        <v>24090093</v>
      </c>
    </row>
    <row r="6" ht="16.5" spans="1:7">
      <c r="A6" s="54" t="s">
        <v>1635</v>
      </c>
      <c r="B6" s="9">
        <v>472.4</v>
      </c>
      <c r="C6" s="10">
        <v>255.3</v>
      </c>
      <c r="D6" s="11">
        <v>5.92</v>
      </c>
      <c r="E6" s="12">
        <v>93.3</v>
      </c>
      <c r="F6" s="12">
        <v>98.2</v>
      </c>
      <c r="G6" s="34">
        <v>24090097</v>
      </c>
    </row>
    <row r="7" ht="16.5" spans="1:7">
      <c r="A7" s="54" t="s">
        <v>1636</v>
      </c>
      <c r="B7" s="9">
        <v>606</v>
      </c>
      <c r="C7" s="10">
        <v>230.5</v>
      </c>
      <c r="D7" s="11">
        <v>4.34</v>
      </c>
      <c r="E7" s="12">
        <v>85.6</v>
      </c>
      <c r="F7" s="12">
        <v>96.1</v>
      </c>
      <c r="G7" s="34">
        <v>25060317</v>
      </c>
    </row>
    <row r="8" ht="16.5" spans="1:7">
      <c r="A8" s="54" t="s">
        <v>1637</v>
      </c>
      <c r="B8" s="9">
        <v>253.8</v>
      </c>
      <c r="C8" s="10">
        <v>251.7</v>
      </c>
      <c r="D8" s="11">
        <v>5.92</v>
      </c>
      <c r="E8" s="12">
        <v>93.5</v>
      </c>
      <c r="F8" s="12">
        <v>98.4</v>
      </c>
      <c r="G8" s="34">
        <v>24090098</v>
      </c>
    </row>
    <row r="9" ht="16.5" spans="1:7">
      <c r="A9" s="54" t="s">
        <v>1638</v>
      </c>
      <c r="B9" s="9">
        <v>815.2</v>
      </c>
      <c r="C9" s="10">
        <v>225.4</v>
      </c>
      <c r="D9" s="11">
        <v>4.38</v>
      </c>
      <c r="E9" s="12">
        <v>84.2</v>
      </c>
      <c r="F9" s="12">
        <v>95.5</v>
      </c>
      <c r="G9" s="34">
        <v>25060318</v>
      </c>
    </row>
    <row r="10" ht="16.5" spans="1:7">
      <c r="A10" s="54" t="s">
        <v>1639</v>
      </c>
      <c r="B10" s="9">
        <v>586.6</v>
      </c>
      <c r="C10" s="10">
        <v>240.9</v>
      </c>
      <c r="D10" s="11">
        <v>5.05</v>
      </c>
      <c r="E10" s="12">
        <v>82.2</v>
      </c>
      <c r="F10" s="12">
        <v>94.1</v>
      </c>
      <c r="G10" s="34">
        <v>25060329</v>
      </c>
    </row>
    <row r="11" ht="16.5" spans="1:7">
      <c r="A11" s="18" t="s">
        <v>1640</v>
      </c>
      <c r="B11" s="14">
        <v>528.6</v>
      </c>
      <c r="C11" s="15">
        <v>286.2</v>
      </c>
      <c r="D11" s="16">
        <v>5.13</v>
      </c>
      <c r="E11" s="17">
        <v>96.1</v>
      </c>
      <c r="F11" s="17">
        <v>99.3</v>
      </c>
      <c r="G11" s="14">
        <v>24090118</v>
      </c>
    </row>
    <row r="12" ht="16.5" spans="1:7">
      <c r="A12" s="18" t="s">
        <v>1641</v>
      </c>
      <c r="B12" s="14">
        <v>488.4</v>
      </c>
      <c r="C12" s="15">
        <v>270.8</v>
      </c>
      <c r="D12" s="16">
        <v>4.97</v>
      </c>
      <c r="E12" s="17">
        <v>95.4</v>
      </c>
      <c r="F12" s="17">
        <v>98.8</v>
      </c>
      <c r="G12" s="14">
        <v>24090122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2"/>
  </dataValidations>
  <pageMargins left="0.75" right="0.75" top="1" bottom="1" header="0.5" footer="0.5"/>
  <pageSetup paperSize="9" orientation="portrait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J16" sqref="J1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718</v>
      </c>
      <c r="B1" s="2">
        <f>SUM(B3:B30)</f>
        <v>10134</v>
      </c>
      <c r="C1" s="3" cm="1">
        <f t="array" ref="C1">SUMPRODUCT(C3:C30*B3:B30)/B1</f>
        <v>149.58956187093</v>
      </c>
      <c r="D1" s="4" cm="1">
        <f t="array" ref="D1">SUMPRODUCT(B3:B30*D3:D30)/B1</f>
        <v>3.81297611999211</v>
      </c>
      <c r="E1" s="3" cm="1">
        <f t="array" ref="E1">SUMPRODUCT(B3:B30*E3:E30)/B1</f>
        <v>79.5087507400829</v>
      </c>
      <c r="F1" s="3" cm="1">
        <f t="array" ref="F1">SUMPRODUCT(B3:B30*F3:F30)/B1</f>
        <v>95.0417150187488</v>
      </c>
      <c r="G1" s="3" cm="1">
        <f t="array" ref="G1">SUMPRODUCT(B3:B30*G3:G30)/B1</f>
        <v>11.4316964673377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0" t="s">
        <v>1642</v>
      </c>
      <c r="B3" s="24">
        <v>573.6</v>
      </c>
      <c r="C3" s="28">
        <v>152.5</v>
      </c>
      <c r="D3" s="25">
        <v>4.75</v>
      </c>
      <c r="E3" s="29">
        <v>77.4</v>
      </c>
      <c r="F3" s="29">
        <v>92.9</v>
      </c>
      <c r="G3" s="25">
        <v>12.09</v>
      </c>
      <c r="H3" s="24">
        <v>24070220</v>
      </c>
    </row>
    <row r="4" ht="16.5" spans="1:8">
      <c r="A4" s="30" t="s">
        <v>1643</v>
      </c>
      <c r="B4" s="24">
        <v>418.2</v>
      </c>
      <c r="C4" s="28">
        <v>145.1</v>
      </c>
      <c r="D4" s="25">
        <v>4.61</v>
      </c>
      <c r="E4" s="29">
        <v>77.7</v>
      </c>
      <c r="F4" s="29">
        <v>93.2</v>
      </c>
      <c r="G4" s="25">
        <v>12.13</v>
      </c>
      <c r="H4" s="24">
        <v>24070221</v>
      </c>
    </row>
    <row r="5" ht="16.5" spans="1:8">
      <c r="A5" s="30" t="s">
        <v>1644</v>
      </c>
      <c r="B5" s="24">
        <v>515.8</v>
      </c>
      <c r="C5" s="28">
        <v>125.1</v>
      </c>
      <c r="D5" s="25">
        <v>2.99</v>
      </c>
      <c r="E5" s="29">
        <v>67</v>
      </c>
      <c r="F5" s="29">
        <v>89.6</v>
      </c>
      <c r="G5" s="25">
        <v>12.49</v>
      </c>
      <c r="H5" s="24">
        <v>24120295</v>
      </c>
    </row>
    <row r="6" ht="16.5" spans="1:8">
      <c r="A6" s="30" t="s">
        <v>1645</v>
      </c>
      <c r="B6" s="24">
        <v>497.4</v>
      </c>
      <c r="C6" s="28">
        <v>194.5</v>
      </c>
      <c r="D6" s="25">
        <v>5.3</v>
      </c>
      <c r="E6" s="29">
        <v>81</v>
      </c>
      <c r="F6" s="29">
        <v>95.4</v>
      </c>
      <c r="G6" s="25">
        <v>11.77</v>
      </c>
      <c r="H6" s="24">
        <v>25020021</v>
      </c>
    </row>
    <row r="7" ht="16.5" spans="1:8">
      <c r="A7" s="30" t="s">
        <v>1646</v>
      </c>
      <c r="B7" s="24">
        <v>647.6</v>
      </c>
      <c r="C7" s="28">
        <v>108.7</v>
      </c>
      <c r="D7" s="25">
        <v>2.67</v>
      </c>
      <c r="E7" s="29">
        <v>74.4</v>
      </c>
      <c r="F7" s="29">
        <v>94</v>
      </c>
      <c r="G7" s="25">
        <v>10.1</v>
      </c>
      <c r="H7" s="24">
        <v>25030059</v>
      </c>
    </row>
    <row r="8" ht="16.5" spans="1:8">
      <c r="A8" s="30" t="s">
        <v>1647</v>
      </c>
      <c r="B8" s="24">
        <v>803.6</v>
      </c>
      <c r="C8" s="28">
        <v>113.1</v>
      </c>
      <c r="D8" s="25">
        <v>2.9</v>
      </c>
      <c r="E8" s="29">
        <v>75.1</v>
      </c>
      <c r="F8" s="29">
        <v>94.2</v>
      </c>
      <c r="G8" s="25">
        <v>11.16</v>
      </c>
      <c r="H8" s="105">
        <v>25030058</v>
      </c>
    </row>
    <row r="9" ht="16.5" spans="1:8">
      <c r="A9" s="30" t="s">
        <v>1648</v>
      </c>
      <c r="B9" s="24">
        <v>554.2</v>
      </c>
      <c r="C9" s="28">
        <v>143.8</v>
      </c>
      <c r="D9" s="25">
        <v>3.55</v>
      </c>
      <c r="E9" s="29">
        <v>82.3</v>
      </c>
      <c r="F9" s="29">
        <v>97.5</v>
      </c>
      <c r="G9" s="25">
        <v>11.75</v>
      </c>
      <c r="H9" s="105">
        <v>25030346</v>
      </c>
    </row>
    <row r="10" ht="16.5" spans="1:8">
      <c r="A10" s="30" t="s">
        <v>1649</v>
      </c>
      <c r="B10" s="24">
        <v>278.2</v>
      </c>
      <c r="C10" s="28">
        <v>202.3</v>
      </c>
      <c r="D10" s="25">
        <v>5.22</v>
      </c>
      <c r="E10" s="29">
        <v>80.5</v>
      </c>
      <c r="F10" s="29">
        <v>94</v>
      </c>
      <c r="G10" s="25">
        <v>10.79</v>
      </c>
      <c r="H10" s="105">
        <v>25040007</v>
      </c>
    </row>
    <row r="11" ht="16.5" spans="1:8">
      <c r="A11" s="30" t="s">
        <v>1650</v>
      </c>
      <c r="B11" s="24">
        <v>501</v>
      </c>
      <c r="C11" s="28">
        <v>209.2</v>
      </c>
      <c r="D11" s="25">
        <v>4.32</v>
      </c>
      <c r="E11" s="29">
        <v>90.1</v>
      </c>
      <c r="F11" s="29">
        <v>99</v>
      </c>
      <c r="G11" s="25">
        <v>11.4</v>
      </c>
      <c r="H11" s="105">
        <v>25040130</v>
      </c>
    </row>
    <row r="12" ht="16.5" spans="1:8">
      <c r="A12" s="30" t="s">
        <v>1651</v>
      </c>
      <c r="B12" s="24">
        <v>277.2</v>
      </c>
      <c r="C12" s="28">
        <v>148.3</v>
      </c>
      <c r="D12" s="25">
        <v>3.49</v>
      </c>
      <c r="E12" s="29">
        <v>78.5</v>
      </c>
      <c r="F12" s="29">
        <v>95.3</v>
      </c>
      <c r="G12" s="25">
        <v>11.23</v>
      </c>
      <c r="H12" s="105">
        <v>25040156</v>
      </c>
    </row>
    <row r="13" ht="16.5" spans="1:8">
      <c r="A13" s="30" t="s">
        <v>1652</v>
      </c>
      <c r="B13" s="24">
        <v>511.6</v>
      </c>
      <c r="C13" s="28">
        <v>207.2</v>
      </c>
      <c r="D13" s="25">
        <v>5.46</v>
      </c>
      <c r="E13" s="29">
        <v>82.5</v>
      </c>
      <c r="F13" s="29">
        <v>95.7</v>
      </c>
      <c r="G13" s="25">
        <v>11.31</v>
      </c>
      <c r="H13" s="105">
        <v>25040186</v>
      </c>
    </row>
    <row r="14" ht="16.5" spans="1:8">
      <c r="A14" s="30" t="s">
        <v>1653</v>
      </c>
      <c r="B14" s="24">
        <v>498.2</v>
      </c>
      <c r="C14" s="28">
        <v>135.1</v>
      </c>
      <c r="D14" s="25">
        <v>3.4</v>
      </c>
      <c r="E14" s="29">
        <v>76.6</v>
      </c>
      <c r="F14" s="29">
        <v>93.7</v>
      </c>
      <c r="G14" s="25">
        <v>9.48</v>
      </c>
      <c r="H14" s="105">
        <v>25040271</v>
      </c>
    </row>
    <row r="15" ht="16.5" spans="1:8">
      <c r="A15" s="30" t="s">
        <v>1654</v>
      </c>
      <c r="B15" s="24">
        <v>434.6</v>
      </c>
      <c r="C15" s="28">
        <v>110.6</v>
      </c>
      <c r="D15" s="25">
        <v>3.03</v>
      </c>
      <c r="E15" s="29">
        <v>82.3</v>
      </c>
      <c r="F15" s="29">
        <v>97.1</v>
      </c>
      <c r="G15" s="25">
        <v>11.19</v>
      </c>
      <c r="H15" s="105">
        <v>25040307</v>
      </c>
    </row>
    <row r="16" ht="16.5" spans="1:8">
      <c r="A16" s="30" t="s">
        <v>1655</v>
      </c>
      <c r="B16" s="24">
        <v>505</v>
      </c>
      <c r="C16" s="28">
        <v>141</v>
      </c>
      <c r="D16" s="25">
        <v>3.4</v>
      </c>
      <c r="E16" s="29">
        <v>74.3</v>
      </c>
      <c r="F16" s="29">
        <v>92</v>
      </c>
      <c r="G16" s="25">
        <v>10.49</v>
      </c>
      <c r="H16" s="105">
        <v>25040348</v>
      </c>
    </row>
    <row r="17" ht="16.5" spans="1:8">
      <c r="A17" s="104" t="s">
        <v>1656</v>
      </c>
      <c r="B17" s="105">
        <v>463</v>
      </c>
      <c r="C17" s="29">
        <v>189.6</v>
      </c>
      <c r="D17" s="106">
        <v>4.66</v>
      </c>
      <c r="E17" s="29">
        <v>88.8</v>
      </c>
      <c r="F17" s="29">
        <v>98.3</v>
      </c>
      <c r="G17" s="106">
        <v>11.9</v>
      </c>
      <c r="H17" s="105">
        <v>25050057</v>
      </c>
    </row>
    <row r="18" ht="16.5" spans="1:8">
      <c r="A18" s="30" t="s">
        <v>1657</v>
      </c>
      <c r="B18" s="24">
        <v>235.8</v>
      </c>
      <c r="C18" s="28">
        <v>217.5</v>
      </c>
      <c r="D18" s="25">
        <v>3.67</v>
      </c>
      <c r="E18" s="29">
        <v>90.4</v>
      </c>
      <c r="F18" s="29">
        <v>98.1</v>
      </c>
      <c r="G18" s="25">
        <v>12.69</v>
      </c>
      <c r="H18" s="24">
        <v>25060139</v>
      </c>
    </row>
    <row r="19" ht="16.5" spans="1:8">
      <c r="A19" s="30" t="s">
        <v>1658</v>
      </c>
      <c r="B19" s="24">
        <v>486.6</v>
      </c>
      <c r="C19" s="28">
        <v>142.1</v>
      </c>
      <c r="D19" s="25">
        <v>3.65</v>
      </c>
      <c r="E19" s="29">
        <v>79.9</v>
      </c>
      <c r="F19" s="29">
        <v>95</v>
      </c>
      <c r="G19" s="25">
        <v>11.28</v>
      </c>
      <c r="H19" s="24">
        <v>25060151</v>
      </c>
    </row>
    <row r="20" ht="16.5" spans="1:8">
      <c r="A20" s="30" t="s">
        <v>1659</v>
      </c>
      <c r="B20" s="24">
        <v>485.4</v>
      </c>
      <c r="C20" s="28">
        <v>118</v>
      </c>
      <c r="D20" s="25">
        <v>3.18</v>
      </c>
      <c r="E20" s="29">
        <v>84.2</v>
      </c>
      <c r="F20" s="29">
        <v>97.1</v>
      </c>
      <c r="G20" s="25">
        <v>12.19</v>
      </c>
      <c r="H20" s="24">
        <v>25060183</v>
      </c>
    </row>
    <row r="21" ht="16.5" spans="1:8">
      <c r="A21" s="30" t="s">
        <v>1660</v>
      </c>
      <c r="B21" s="105">
        <v>454</v>
      </c>
      <c r="C21" s="28">
        <v>126.9</v>
      </c>
      <c r="D21" s="25">
        <v>3.18</v>
      </c>
      <c r="E21" s="29">
        <v>78</v>
      </c>
      <c r="F21" s="29">
        <v>95</v>
      </c>
      <c r="G21" s="25">
        <v>11.89</v>
      </c>
      <c r="H21" s="24">
        <v>25060239</v>
      </c>
    </row>
    <row r="22" ht="16.5" spans="1:8">
      <c r="A22" s="30" t="s">
        <v>1661</v>
      </c>
      <c r="B22" s="105">
        <v>487</v>
      </c>
      <c r="C22" s="28">
        <v>122.4</v>
      </c>
      <c r="D22" s="25">
        <v>3.18</v>
      </c>
      <c r="E22" s="29">
        <v>81.3</v>
      </c>
      <c r="F22" s="29">
        <v>96.7</v>
      </c>
      <c r="G22" s="25">
        <v>12.63</v>
      </c>
      <c r="H22" s="24">
        <v>25070228</v>
      </c>
    </row>
    <row r="23" ht="16.5" spans="1:8">
      <c r="A23" s="23" t="s">
        <v>1662</v>
      </c>
      <c r="B23" s="14">
        <v>506</v>
      </c>
      <c r="C23" s="15">
        <v>174</v>
      </c>
      <c r="D23" s="16">
        <v>4.63</v>
      </c>
      <c r="E23" s="17">
        <v>78.5</v>
      </c>
      <c r="F23" s="17">
        <v>94.7</v>
      </c>
      <c r="G23" s="16">
        <v>11.01</v>
      </c>
      <c r="H23" s="14">
        <v>25040304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3"/>
  </dataValidations>
  <pageMargins left="0.75" right="0.75" top="1" bottom="1" header="0.5" footer="0.5"/>
  <pageSetup paperSize="9" orientation="portrait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M12" sqref="M12:M13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719</v>
      </c>
      <c r="B1" s="2">
        <f>SUM(B3:B30)</f>
        <v>10152.8</v>
      </c>
      <c r="C1" s="3" cm="1">
        <f t="array" ref="C1">SUMPRODUCT(C3:C30*B3:B30)/B1</f>
        <v>170.112676306044</v>
      </c>
      <c r="D1" s="4" cm="1">
        <f t="array" ref="D1">SUMPRODUCT(B3:B30*D3:D30)/B1</f>
        <v>3.99406134268379</v>
      </c>
      <c r="E1" s="3" cm="1">
        <f t="array" ref="E1">SUMPRODUCT(B3:B30*E3:E30)/B1</f>
        <v>79.0160192262233</v>
      </c>
      <c r="F1" s="3" cm="1">
        <f t="array" ref="F1">SUMPRODUCT(B3:B30*F3:F30)/B1</f>
        <v>94.4604700181231</v>
      </c>
      <c r="G1" s="3" cm="1">
        <f t="array" ref="G1">SUMPRODUCT(B3:B30*G3:G30)/B1</f>
        <v>11.4237717673942</v>
      </c>
    </row>
    <row r="2" ht="16.5" spans="1: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104" t="s">
        <v>774</v>
      </c>
      <c r="B3" s="105">
        <v>447.2</v>
      </c>
      <c r="C3" s="29">
        <v>211.9</v>
      </c>
      <c r="D3" s="106">
        <v>4.86</v>
      </c>
      <c r="E3" s="29">
        <v>87.8</v>
      </c>
      <c r="F3" s="29">
        <v>97.4</v>
      </c>
      <c r="G3" s="25">
        <v>11.43</v>
      </c>
      <c r="H3" s="105">
        <v>25020016</v>
      </c>
    </row>
    <row r="4" ht="16.5" spans="1:8">
      <c r="A4" s="104" t="s">
        <v>1663</v>
      </c>
      <c r="B4" s="105">
        <v>404.2</v>
      </c>
      <c r="C4" s="29">
        <v>169.4</v>
      </c>
      <c r="D4" s="106">
        <v>4.55</v>
      </c>
      <c r="E4" s="29">
        <v>46</v>
      </c>
      <c r="F4" s="29">
        <v>77</v>
      </c>
      <c r="G4" s="106">
        <v>12.66</v>
      </c>
      <c r="H4" s="105">
        <v>25020140</v>
      </c>
    </row>
    <row r="5" ht="16.5" spans="1:8">
      <c r="A5" s="104" t="s">
        <v>1664</v>
      </c>
      <c r="B5" s="105">
        <v>461.8</v>
      </c>
      <c r="C5" s="29">
        <v>248.2</v>
      </c>
      <c r="D5" s="106">
        <v>5.27</v>
      </c>
      <c r="E5" s="29">
        <v>87.3</v>
      </c>
      <c r="F5" s="29">
        <v>97.1</v>
      </c>
      <c r="G5" s="25">
        <v>11.41</v>
      </c>
      <c r="H5" s="105">
        <v>25020300</v>
      </c>
    </row>
    <row r="6" ht="16.5" spans="1:8">
      <c r="A6" s="104" t="s">
        <v>1665</v>
      </c>
      <c r="B6" s="105">
        <v>744.6</v>
      </c>
      <c r="C6" s="29">
        <v>119.8</v>
      </c>
      <c r="D6" s="106">
        <v>3.09</v>
      </c>
      <c r="E6" s="29">
        <v>75.3</v>
      </c>
      <c r="F6" s="29">
        <v>94.2</v>
      </c>
      <c r="G6" s="25">
        <v>11.06</v>
      </c>
      <c r="H6" s="105">
        <v>25030057</v>
      </c>
    </row>
    <row r="7" ht="16.5" spans="1:8">
      <c r="A7" s="104" t="s">
        <v>1666</v>
      </c>
      <c r="B7" s="105">
        <v>445.6</v>
      </c>
      <c r="C7" s="29">
        <v>122.4</v>
      </c>
      <c r="D7" s="106">
        <v>3.24</v>
      </c>
      <c r="E7" s="29">
        <v>72</v>
      </c>
      <c r="F7" s="29">
        <v>93</v>
      </c>
      <c r="G7" s="25">
        <v>11.7</v>
      </c>
      <c r="H7" s="105">
        <v>25030290</v>
      </c>
    </row>
    <row r="8" ht="16.5" spans="1:8">
      <c r="A8" s="104" t="s">
        <v>1667</v>
      </c>
      <c r="B8" s="105">
        <v>429.8</v>
      </c>
      <c r="C8" s="29">
        <v>181.1</v>
      </c>
      <c r="D8" s="106">
        <v>3.99</v>
      </c>
      <c r="E8" s="29">
        <v>85.9</v>
      </c>
      <c r="F8" s="29">
        <v>97.8</v>
      </c>
      <c r="G8" s="25">
        <v>11.52</v>
      </c>
      <c r="H8" s="105">
        <v>25040131</v>
      </c>
    </row>
    <row r="9" ht="16.5" spans="1:8">
      <c r="A9" s="104" t="s">
        <v>1668</v>
      </c>
      <c r="B9" s="105">
        <v>435.8</v>
      </c>
      <c r="C9" s="29">
        <v>151.3</v>
      </c>
      <c r="D9" s="106">
        <v>3.65</v>
      </c>
      <c r="E9" s="29">
        <v>78.9</v>
      </c>
      <c r="F9" s="29">
        <v>94.8</v>
      </c>
      <c r="G9" s="106">
        <v>10.58</v>
      </c>
      <c r="H9" s="105">
        <v>25040191</v>
      </c>
    </row>
    <row r="10" ht="16.5" spans="1:8">
      <c r="A10" s="104" t="s">
        <v>1669</v>
      </c>
      <c r="B10" s="105">
        <v>377.4</v>
      </c>
      <c r="C10" s="29">
        <v>133.5</v>
      </c>
      <c r="D10" s="106">
        <v>3.24</v>
      </c>
      <c r="E10" s="29">
        <v>73.1</v>
      </c>
      <c r="F10" s="29">
        <v>92.7</v>
      </c>
      <c r="G10" s="25">
        <v>11.02</v>
      </c>
      <c r="H10" s="105">
        <v>25040254</v>
      </c>
    </row>
    <row r="11" ht="16.5" spans="1:8">
      <c r="A11" s="104" t="s">
        <v>1670</v>
      </c>
      <c r="B11" s="105">
        <v>460.4</v>
      </c>
      <c r="C11" s="29">
        <v>170.9</v>
      </c>
      <c r="D11" s="106">
        <v>4.91</v>
      </c>
      <c r="E11" s="29">
        <v>79.2</v>
      </c>
      <c r="F11" s="29">
        <v>94.7</v>
      </c>
      <c r="G11" s="25">
        <v>10.9</v>
      </c>
      <c r="H11" s="105">
        <v>25040542</v>
      </c>
    </row>
    <row r="12" ht="16.5" spans="1:8">
      <c r="A12" s="104" t="s">
        <v>1184</v>
      </c>
      <c r="B12" s="105">
        <v>347.2</v>
      </c>
      <c r="C12" s="29">
        <v>172.3</v>
      </c>
      <c r="D12" s="106">
        <v>4.82</v>
      </c>
      <c r="E12" s="29">
        <v>79.1</v>
      </c>
      <c r="F12" s="29">
        <v>94.5</v>
      </c>
      <c r="G12" s="25">
        <v>11.17</v>
      </c>
      <c r="H12" s="105">
        <v>25040544</v>
      </c>
    </row>
    <row r="13" ht="16.5" spans="1:8">
      <c r="A13" s="104" t="s">
        <v>1671</v>
      </c>
      <c r="B13" s="105">
        <v>293.2</v>
      </c>
      <c r="C13" s="29">
        <v>240</v>
      </c>
      <c r="D13" s="106">
        <v>4.46</v>
      </c>
      <c r="E13" s="29">
        <v>88.5</v>
      </c>
      <c r="F13" s="29">
        <v>98.4</v>
      </c>
      <c r="G13" s="25">
        <v>11.56</v>
      </c>
      <c r="H13" s="105">
        <v>25050096</v>
      </c>
    </row>
    <row r="14" ht="16.5" spans="1:8">
      <c r="A14" s="104" t="s">
        <v>1672</v>
      </c>
      <c r="B14" s="105">
        <v>814.4</v>
      </c>
      <c r="C14" s="29">
        <v>245.2</v>
      </c>
      <c r="D14" s="106">
        <v>4.29</v>
      </c>
      <c r="E14" s="29">
        <v>90</v>
      </c>
      <c r="F14" s="29">
        <v>97.7</v>
      </c>
      <c r="G14" s="25">
        <v>11.61</v>
      </c>
      <c r="H14" s="105">
        <v>25050185</v>
      </c>
    </row>
    <row r="15" ht="16.5" spans="1:8">
      <c r="A15" s="104" t="s">
        <v>1673</v>
      </c>
      <c r="B15" s="105">
        <v>477.2</v>
      </c>
      <c r="C15" s="29">
        <v>156.6</v>
      </c>
      <c r="D15" s="106">
        <v>3.91</v>
      </c>
      <c r="E15" s="29">
        <v>84.1</v>
      </c>
      <c r="F15" s="29">
        <v>96.5</v>
      </c>
      <c r="G15" s="106">
        <v>11.88</v>
      </c>
      <c r="H15" s="105">
        <v>25060164</v>
      </c>
    </row>
    <row r="16" ht="16.5" spans="1:8">
      <c r="A16" s="104" t="s">
        <v>1674</v>
      </c>
      <c r="B16" s="105">
        <v>424.6</v>
      </c>
      <c r="C16" s="29">
        <v>165.6</v>
      </c>
      <c r="D16" s="106">
        <v>4.11</v>
      </c>
      <c r="E16" s="29">
        <v>69.8</v>
      </c>
      <c r="F16" s="29">
        <v>90.5</v>
      </c>
      <c r="G16" s="25">
        <v>10.65</v>
      </c>
      <c r="H16" s="105">
        <v>25070122</v>
      </c>
    </row>
    <row r="17" ht="16.5" spans="1:8">
      <c r="A17" s="104" t="s">
        <v>1675</v>
      </c>
      <c r="B17" s="105">
        <v>856.8</v>
      </c>
      <c r="C17" s="29">
        <v>130.1</v>
      </c>
      <c r="D17" s="106">
        <v>3.24</v>
      </c>
      <c r="E17" s="29">
        <v>77.2</v>
      </c>
      <c r="F17" s="29">
        <v>94.2</v>
      </c>
      <c r="G17" s="25">
        <v>11.46</v>
      </c>
      <c r="H17" s="105">
        <v>25070135</v>
      </c>
    </row>
    <row r="18" ht="16.5" spans="1:8">
      <c r="A18" s="104" t="s">
        <v>1676</v>
      </c>
      <c r="B18" s="105">
        <v>884.6</v>
      </c>
      <c r="C18" s="29">
        <v>135.4</v>
      </c>
      <c r="D18" s="106">
        <v>3.49</v>
      </c>
      <c r="E18" s="29">
        <v>79.9</v>
      </c>
      <c r="F18" s="29">
        <v>96</v>
      </c>
      <c r="G18" s="25">
        <v>11.49</v>
      </c>
      <c r="H18" s="105">
        <v>25070134</v>
      </c>
    </row>
    <row r="19" ht="16.5" spans="1:8">
      <c r="A19" s="104" t="s">
        <v>1677</v>
      </c>
      <c r="B19" s="105">
        <v>835.2</v>
      </c>
      <c r="C19" s="29">
        <v>114.9</v>
      </c>
      <c r="D19" s="106">
        <v>3.43</v>
      </c>
      <c r="E19" s="29">
        <v>82.3</v>
      </c>
      <c r="F19" s="29">
        <v>97</v>
      </c>
      <c r="G19" s="25">
        <v>11.93</v>
      </c>
      <c r="H19" s="105">
        <v>25070147</v>
      </c>
    </row>
    <row r="20" ht="16.5" spans="1:8">
      <c r="A20" s="23" t="s">
        <v>1678</v>
      </c>
      <c r="B20" s="14">
        <v>770</v>
      </c>
      <c r="C20" s="15">
        <v>236.1</v>
      </c>
      <c r="D20" s="16">
        <v>4.69</v>
      </c>
      <c r="E20" s="17">
        <v>76.3</v>
      </c>
      <c r="F20" s="17">
        <v>91.7</v>
      </c>
      <c r="G20" s="16">
        <v>11.22</v>
      </c>
      <c r="H20" s="14">
        <v>25070169</v>
      </c>
    </row>
    <row r="21" ht="16.5" spans="1:8">
      <c r="A21" s="23" t="s">
        <v>1679</v>
      </c>
      <c r="B21" s="14">
        <v>242.8</v>
      </c>
      <c r="C21" s="15">
        <v>200.8</v>
      </c>
      <c r="D21" s="16">
        <v>4.72</v>
      </c>
      <c r="E21" s="17">
        <v>81.4</v>
      </c>
      <c r="F21" s="17">
        <v>94.9</v>
      </c>
      <c r="G21" s="16">
        <v>11.52</v>
      </c>
      <c r="H21" s="14">
        <v>25070181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4:B8 B10:B15 B17:B21 C4:C21"/>
  </dataValidations>
  <pageMargins left="0.75" right="0.75" top="1" bottom="1" header="0.5" footer="0.5"/>
  <pageSetup paperSize="9" orientation="portrait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O17" sqref="O17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720</v>
      </c>
      <c r="B1" s="2">
        <f>SUM(B3:B30)</f>
        <v>10118.8</v>
      </c>
      <c r="C1" s="3" cm="1">
        <f t="array" ref="C1">SUMPRODUCT(C3:C30*B3:B30)/B1</f>
        <v>151.292325176898</v>
      </c>
      <c r="D1" s="4" cm="1">
        <f t="array" ref="D1">SUMPRODUCT(B3:B30*D3:D30)/B1</f>
        <v>3.78629817764952</v>
      </c>
      <c r="E1" s="3" cm="1">
        <f t="array" ref="E1">SUMPRODUCT(B3:B30*E3:E30)/B1</f>
        <v>80.8545697118235</v>
      </c>
      <c r="F1" s="3" cm="1">
        <f t="array" ref="F1">SUMPRODUCT(B3:B30*F3:F30)/B1</f>
        <v>95.653324504882</v>
      </c>
      <c r="G1" s="3" cm="1">
        <f t="array" ref="G1">SUMPRODUCT(B3:B30*G3:G30)/B1</f>
        <v>11.6701992331106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8" t="s">
        <v>1680</v>
      </c>
      <c r="B3" s="34">
        <v>497.8</v>
      </c>
      <c r="C3" s="35">
        <v>146.9</v>
      </c>
      <c r="D3" s="36">
        <v>3.67</v>
      </c>
      <c r="E3" s="37">
        <v>76.3</v>
      </c>
      <c r="F3" s="37">
        <v>93.4</v>
      </c>
      <c r="G3" s="36">
        <v>11.08</v>
      </c>
      <c r="H3" s="114">
        <v>25040083</v>
      </c>
    </row>
    <row r="4" ht="16.5" spans="1:8">
      <c r="A4" s="38" t="s">
        <v>1681</v>
      </c>
      <c r="B4" s="34">
        <v>432.8</v>
      </c>
      <c r="C4" s="35">
        <v>120.4</v>
      </c>
      <c r="D4" s="36">
        <v>3.15</v>
      </c>
      <c r="E4" s="37">
        <v>80.7</v>
      </c>
      <c r="F4" s="37">
        <v>96</v>
      </c>
      <c r="G4" s="36">
        <v>12.64</v>
      </c>
      <c r="H4" s="114">
        <v>25040102</v>
      </c>
    </row>
    <row r="5" ht="16.5" spans="1:8">
      <c r="A5" s="38" t="s">
        <v>1682</v>
      </c>
      <c r="B5" s="34">
        <v>241.8</v>
      </c>
      <c r="C5" s="35">
        <v>129.6</v>
      </c>
      <c r="D5" s="36">
        <v>3.28</v>
      </c>
      <c r="E5" s="37">
        <v>81.1</v>
      </c>
      <c r="F5" s="37">
        <v>96.3</v>
      </c>
      <c r="G5" s="36">
        <v>11.67</v>
      </c>
      <c r="H5" s="114">
        <v>25040119</v>
      </c>
    </row>
    <row r="6" ht="16.5" spans="1:8">
      <c r="A6" s="41" t="s">
        <v>1683</v>
      </c>
      <c r="B6" s="114">
        <v>250.2</v>
      </c>
      <c r="C6" s="37">
        <v>155.2</v>
      </c>
      <c r="D6" s="134">
        <v>3.28</v>
      </c>
      <c r="E6" s="37">
        <v>80.6</v>
      </c>
      <c r="F6" s="37">
        <v>95.6</v>
      </c>
      <c r="G6" s="134">
        <v>9.24</v>
      </c>
      <c r="H6" s="114">
        <v>25040140</v>
      </c>
    </row>
    <row r="7" ht="16.5" spans="1:8">
      <c r="A7" s="38" t="s">
        <v>1684</v>
      </c>
      <c r="B7" s="34">
        <v>502.6</v>
      </c>
      <c r="C7" s="35">
        <v>207.3</v>
      </c>
      <c r="D7" s="36">
        <v>4.2</v>
      </c>
      <c r="E7" s="37">
        <v>90.8</v>
      </c>
      <c r="F7" s="37">
        <v>99.2</v>
      </c>
      <c r="G7" s="36">
        <v>11.57</v>
      </c>
      <c r="H7" s="114">
        <v>25040127</v>
      </c>
    </row>
    <row r="8" ht="16.5" spans="1:8">
      <c r="A8" s="38" t="s">
        <v>1685</v>
      </c>
      <c r="B8" s="34">
        <v>532.2</v>
      </c>
      <c r="C8" s="35">
        <v>211.2</v>
      </c>
      <c r="D8" s="36">
        <v>4.15</v>
      </c>
      <c r="E8" s="37">
        <v>91.2</v>
      </c>
      <c r="F8" s="37">
        <v>99.4</v>
      </c>
      <c r="G8" s="36">
        <v>11.71</v>
      </c>
      <c r="H8" s="114">
        <v>25040126</v>
      </c>
    </row>
    <row r="9" ht="16.5" spans="1:8">
      <c r="A9" s="38" t="s">
        <v>1686</v>
      </c>
      <c r="B9" s="34">
        <v>505.8</v>
      </c>
      <c r="C9" s="35">
        <v>214</v>
      </c>
      <c r="D9" s="36">
        <v>5.46</v>
      </c>
      <c r="E9" s="37">
        <v>82.3</v>
      </c>
      <c r="F9" s="37">
        <v>95.5</v>
      </c>
      <c r="G9" s="36">
        <v>11.29</v>
      </c>
      <c r="H9" s="114">
        <v>25040246</v>
      </c>
    </row>
    <row r="10" ht="16.5" spans="1:8">
      <c r="A10" s="38" t="s">
        <v>1687</v>
      </c>
      <c r="B10" s="34">
        <v>411</v>
      </c>
      <c r="C10" s="35">
        <v>167.7</v>
      </c>
      <c r="D10" s="36">
        <v>4.63</v>
      </c>
      <c r="E10" s="37">
        <v>77.6</v>
      </c>
      <c r="F10" s="37">
        <v>94.3</v>
      </c>
      <c r="G10" s="36">
        <v>10.77</v>
      </c>
      <c r="H10" s="114">
        <v>25040306</v>
      </c>
    </row>
    <row r="11" ht="16.5" spans="1:8">
      <c r="A11" s="38" t="s">
        <v>1688</v>
      </c>
      <c r="B11" s="34">
        <v>408.8</v>
      </c>
      <c r="C11" s="35">
        <v>138.3</v>
      </c>
      <c r="D11" s="36">
        <v>3.55</v>
      </c>
      <c r="E11" s="37">
        <v>76</v>
      </c>
      <c r="F11" s="37">
        <v>92.9</v>
      </c>
      <c r="G11" s="36">
        <v>10.92</v>
      </c>
      <c r="H11" s="114">
        <v>25040346</v>
      </c>
    </row>
    <row r="12" ht="16.5" spans="1:8">
      <c r="A12" s="38" t="s">
        <v>1689</v>
      </c>
      <c r="B12" s="34">
        <v>395.6</v>
      </c>
      <c r="C12" s="35">
        <v>139.2</v>
      </c>
      <c r="D12" s="36">
        <v>3.58</v>
      </c>
      <c r="E12" s="37">
        <v>76.3</v>
      </c>
      <c r="F12" s="37">
        <v>92.9</v>
      </c>
      <c r="G12" s="36">
        <v>10.78</v>
      </c>
      <c r="H12" s="114">
        <v>25040345</v>
      </c>
    </row>
    <row r="13" ht="16.5" spans="1:8">
      <c r="A13" s="38" t="s">
        <v>1690</v>
      </c>
      <c r="B13" s="34">
        <v>457.6</v>
      </c>
      <c r="C13" s="35">
        <v>171</v>
      </c>
      <c r="D13" s="36">
        <v>4.26</v>
      </c>
      <c r="E13" s="37">
        <v>81.3</v>
      </c>
      <c r="F13" s="37">
        <v>95.1</v>
      </c>
      <c r="G13" s="36">
        <v>11.89</v>
      </c>
      <c r="H13" s="114">
        <v>25040361</v>
      </c>
    </row>
    <row r="14" ht="16.5" spans="1:8">
      <c r="A14" s="38" t="s">
        <v>1691</v>
      </c>
      <c r="B14" s="34">
        <v>482.8</v>
      </c>
      <c r="C14" s="35">
        <v>136</v>
      </c>
      <c r="D14" s="36">
        <v>3.65</v>
      </c>
      <c r="E14" s="37">
        <v>78</v>
      </c>
      <c r="F14" s="37">
        <v>94.9</v>
      </c>
      <c r="G14" s="36">
        <v>11.02</v>
      </c>
      <c r="H14" s="114">
        <v>25040385</v>
      </c>
    </row>
    <row r="15" ht="16.5" spans="1:8">
      <c r="A15" s="38" t="s">
        <v>1692</v>
      </c>
      <c r="B15" s="34">
        <v>753.2</v>
      </c>
      <c r="C15" s="35">
        <v>126.5</v>
      </c>
      <c r="D15" s="36">
        <v>3.24</v>
      </c>
      <c r="E15" s="37">
        <v>79</v>
      </c>
      <c r="F15" s="37">
        <v>94.6</v>
      </c>
      <c r="G15" s="36">
        <v>11.1</v>
      </c>
      <c r="H15" s="114">
        <v>25060134</v>
      </c>
    </row>
    <row r="16" ht="16.5" spans="1:8">
      <c r="A16" s="38" t="s">
        <v>1693</v>
      </c>
      <c r="B16" s="34">
        <v>692</v>
      </c>
      <c r="C16" s="35">
        <v>168.7</v>
      </c>
      <c r="D16" s="36">
        <v>4.52</v>
      </c>
      <c r="E16" s="37">
        <v>80</v>
      </c>
      <c r="F16" s="37">
        <v>95</v>
      </c>
      <c r="G16" s="36">
        <v>12.01</v>
      </c>
      <c r="H16" s="114">
        <v>25070055</v>
      </c>
    </row>
    <row r="17" ht="16.5" spans="1:8">
      <c r="A17" s="38" t="s">
        <v>1694</v>
      </c>
      <c r="B17" s="34">
        <v>320.8</v>
      </c>
      <c r="C17" s="35">
        <v>141.3</v>
      </c>
      <c r="D17" s="36">
        <v>3.94</v>
      </c>
      <c r="E17" s="37">
        <v>78.3</v>
      </c>
      <c r="F17" s="37">
        <v>94.8</v>
      </c>
      <c r="G17" s="36">
        <v>12.6</v>
      </c>
      <c r="H17" s="114">
        <v>25070198</v>
      </c>
    </row>
    <row r="18" ht="16.5" spans="1:8">
      <c r="A18" s="144" t="s">
        <v>1695</v>
      </c>
      <c r="B18" s="114">
        <v>479.4</v>
      </c>
      <c r="C18" s="37">
        <v>150.6</v>
      </c>
      <c r="D18" s="134">
        <v>3.89</v>
      </c>
      <c r="E18" s="37">
        <v>84.1</v>
      </c>
      <c r="F18" s="37">
        <v>96.8</v>
      </c>
      <c r="G18" s="134">
        <v>11.94</v>
      </c>
      <c r="H18" s="34">
        <v>25060182</v>
      </c>
    </row>
    <row r="19" ht="16.5" spans="1:8">
      <c r="A19" s="38" t="s">
        <v>1696</v>
      </c>
      <c r="B19" s="34">
        <v>527</v>
      </c>
      <c r="C19" s="35">
        <v>144.5</v>
      </c>
      <c r="D19" s="36">
        <v>3.53</v>
      </c>
      <c r="E19" s="37">
        <v>79.1</v>
      </c>
      <c r="F19" s="37">
        <v>95.7</v>
      </c>
      <c r="G19" s="36">
        <v>11.37</v>
      </c>
      <c r="H19" s="34">
        <v>25040047</v>
      </c>
    </row>
    <row r="20" ht="16.5" spans="1:8">
      <c r="A20" s="23" t="s">
        <v>1697</v>
      </c>
      <c r="B20" s="14">
        <v>839.6</v>
      </c>
      <c r="C20" s="15">
        <v>133.9</v>
      </c>
      <c r="D20" s="16">
        <v>3.55</v>
      </c>
      <c r="E20" s="17">
        <v>81.2</v>
      </c>
      <c r="F20" s="17">
        <v>96.1</v>
      </c>
      <c r="G20" s="16">
        <v>12.95</v>
      </c>
      <c r="H20" s="14">
        <v>25070252</v>
      </c>
    </row>
    <row r="21" ht="16.5" spans="1:8">
      <c r="A21" s="23" t="s">
        <v>1698</v>
      </c>
      <c r="B21" s="14">
        <v>403</v>
      </c>
      <c r="C21" s="15">
        <v>138.7</v>
      </c>
      <c r="D21" s="16">
        <v>3.58</v>
      </c>
      <c r="E21" s="17">
        <v>81.2</v>
      </c>
      <c r="F21" s="17">
        <v>96.5</v>
      </c>
      <c r="G21" s="16">
        <v>11.46</v>
      </c>
      <c r="H21" s="14">
        <v>25070243</v>
      </c>
    </row>
    <row r="22" ht="16.5" spans="1:8">
      <c r="A22" s="23" t="s">
        <v>1699</v>
      </c>
      <c r="B22" s="14">
        <v>506</v>
      </c>
      <c r="C22" s="15">
        <v>125.8</v>
      </c>
      <c r="D22" s="16">
        <v>3.21</v>
      </c>
      <c r="E22" s="17">
        <v>81.4</v>
      </c>
      <c r="F22" s="17">
        <v>96.8</v>
      </c>
      <c r="G22" s="16">
        <v>11.85</v>
      </c>
      <c r="H22" s="14">
        <v>25070229</v>
      </c>
    </row>
    <row r="23" ht="16.5" spans="1:8">
      <c r="A23" s="23" t="s">
        <v>1700</v>
      </c>
      <c r="B23" s="14">
        <v>478.8</v>
      </c>
      <c r="C23" s="15">
        <v>101.4</v>
      </c>
      <c r="D23" s="16">
        <v>2.8</v>
      </c>
      <c r="E23" s="17">
        <v>78.5</v>
      </c>
      <c r="F23" s="17">
        <v>96</v>
      </c>
      <c r="G23" s="16">
        <v>13.32</v>
      </c>
      <c r="H23" s="14">
        <v>25070185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C14 B3:C13 B15:C23"/>
  </dataValidations>
  <pageMargins left="0.75" right="0.75" top="1" bottom="1" header="0.5" footer="0.5"/>
  <pageSetup paperSize="9" orientation="portrait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J1" sqref="J$1:L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721</v>
      </c>
      <c r="B1" s="2">
        <f>SUM(B3:B30)</f>
        <v>10108.8</v>
      </c>
      <c r="C1" s="3" cm="1">
        <f t="array" ref="C1">SUMPRODUCT(C3:C30*B3:B30)/B1</f>
        <v>149.789053102248</v>
      </c>
      <c r="D1" s="4" cm="1">
        <f t="array" ref="D1">SUMPRODUCT(B3:B30*D3:D30)/B1</f>
        <v>3.83476574865464</v>
      </c>
      <c r="E1" s="3" cm="1">
        <f t="array" ref="E1">SUMPRODUCT(B3:B30*E3:E30)/B1</f>
        <v>78.3813884931941</v>
      </c>
      <c r="F1" s="3" cm="1">
        <f t="array" ref="F1">SUMPRODUCT(B3:B30*F3:F30)/B1</f>
        <v>94.6365483539095</v>
      </c>
      <c r="G1" s="3" cm="1">
        <f t="array" ref="G1">SUMPRODUCT(B3:B30*G3:G30)/B1</f>
        <v>11.6399062203229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1701</v>
      </c>
      <c r="B3" s="9">
        <v>383.6</v>
      </c>
      <c r="C3" s="10">
        <v>167.1</v>
      </c>
      <c r="D3" s="11">
        <v>4.82</v>
      </c>
      <c r="E3" s="12">
        <v>63.6</v>
      </c>
      <c r="F3" s="12">
        <v>87.7</v>
      </c>
      <c r="G3" s="11">
        <v>11.64</v>
      </c>
      <c r="H3" s="9">
        <v>25030288</v>
      </c>
    </row>
    <row r="4" ht="16.5" spans="1:8">
      <c r="A4" s="39" t="s">
        <v>1702</v>
      </c>
      <c r="B4" s="9">
        <v>513.8</v>
      </c>
      <c r="C4" s="10">
        <v>177.3</v>
      </c>
      <c r="D4" s="11">
        <v>4.97</v>
      </c>
      <c r="E4" s="12">
        <v>66</v>
      </c>
      <c r="F4" s="12">
        <v>88.8</v>
      </c>
      <c r="G4" s="11">
        <v>11.59</v>
      </c>
      <c r="H4" s="9">
        <v>25030286</v>
      </c>
    </row>
    <row r="5" ht="16.5" spans="1:8">
      <c r="A5" s="39" t="s">
        <v>1703</v>
      </c>
      <c r="B5" s="9">
        <v>491.6</v>
      </c>
      <c r="C5" s="10">
        <v>113.4</v>
      </c>
      <c r="D5" s="11">
        <v>3.21</v>
      </c>
      <c r="E5" s="12">
        <v>81.7</v>
      </c>
      <c r="F5" s="12">
        <v>96.6</v>
      </c>
      <c r="G5" s="11">
        <v>13.07</v>
      </c>
      <c r="H5" s="34">
        <v>25070199</v>
      </c>
    </row>
    <row r="6" ht="16.5" spans="1:8">
      <c r="A6" s="39" t="s">
        <v>1704</v>
      </c>
      <c r="B6" s="9">
        <v>375</v>
      </c>
      <c r="C6" s="10">
        <v>213.3</v>
      </c>
      <c r="D6" s="11">
        <v>5.95</v>
      </c>
      <c r="E6" s="12">
        <v>82.2</v>
      </c>
      <c r="F6" s="12">
        <v>95.5</v>
      </c>
      <c r="G6" s="11">
        <v>11.72</v>
      </c>
      <c r="H6" s="9">
        <v>25030455</v>
      </c>
    </row>
    <row r="7" ht="16.5" spans="1:8">
      <c r="A7" s="39" t="s">
        <v>1705</v>
      </c>
      <c r="B7" s="9">
        <v>482.6</v>
      </c>
      <c r="C7" s="10">
        <v>104.1</v>
      </c>
      <c r="D7" s="11">
        <v>2.93</v>
      </c>
      <c r="E7" s="12">
        <v>80.5</v>
      </c>
      <c r="F7" s="12">
        <v>95.5</v>
      </c>
      <c r="G7" s="11">
        <v>11.52</v>
      </c>
      <c r="H7" s="9">
        <v>25040363</v>
      </c>
    </row>
    <row r="8" ht="16.5" spans="1:8">
      <c r="A8" s="39" t="s">
        <v>1706</v>
      </c>
      <c r="B8" s="9">
        <v>534.6</v>
      </c>
      <c r="C8" s="10">
        <v>107.6</v>
      </c>
      <c r="D8" s="11">
        <v>2.51</v>
      </c>
      <c r="E8" s="12">
        <v>81</v>
      </c>
      <c r="F8" s="12">
        <v>95.8</v>
      </c>
      <c r="G8" s="11">
        <v>10.92</v>
      </c>
      <c r="H8" s="9">
        <v>25040289</v>
      </c>
    </row>
    <row r="9" ht="16.5" spans="1:8">
      <c r="A9" s="39" t="s">
        <v>1707</v>
      </c>
      <c r="B9" s="9">
        <v>410.2</v>
      </c>
      <c r="C9" s="10">
        <v>212.5</v>
      </c>
      <c r="D9" s="11">
        <v>5.84</v>
      </c>
      <c r="E9" s="12">
        <v>82.6</v>
      </c>
      <c r="F9" s="12">
        <v>95.7</v>
      </c>
      <c r="G9" s="11">
        <v>11.68</v>
      </c>
      <c r="H9" s="9">
        <v>25030454</v>
      </c>
    </row>
    <row r="10" ht="16.5" spans="1:8">
      <c r="A10" s="39" t="s">
        <v>1708</v>
      </c>
      <c r="B10" s="9">
        <v>853.6</v>
      </c>
      <c r="C10" s="10">
        <v>102.7</v>
      </c>
      <c r="D10" s="11">
        <v>2.8</v>
      </c>
      <c r="E10" s="12">
        <v>79.7</v>
      </c>
      <c r="F10" s="12">
        <v>96.1</v>
      </c>
      <c r="G10" s="11">
        <v>12.46</v>
      </c>
      <c r="H10" s="9">
        <v>25070230</v>
      </c>
    </row>
    <row r="11" ht="16.5" spans="1:8">
      <c r="A11" s="39" t="s">
        <v>1709</v>
      </c>
      <c r="B11" s="9">
        <v>509.4</v>
      </c>
      <c r="C11" s="10">
        <v>119.3</v>
      </c>
      <c r="D11" s="11">
        <v>3.28</v>
      </c>
      <c r="E11" s="12">
        <v>81.6</v>
      </c>
      <c r="F11" s="12">
        <v>96.9</v>
      </c>
      <c r="G11" s="11">
        <v>11.16</v>
      </c>
      <c r="H11" s="9">
        <v>25070242</v>
      </c>
    </row>
    <row r="12" ht="16.5" spans="1:8">
      <c r="A12" s="39" t="s">
        <v>1710</v>
      </c>
      <c r="B12" s="9">
        <v>774</v>
      </c>
      <c r="C12" s="10">
        <v>250</v>
      </c>
      <c r="D12" s="11">
        <v>4.49</v>
      </c>
      <c r="E12" s="12">
        <v>80.3</v>
      </c>
      <c r="F12" s="12">
        <v>93.9</v>
      </c>
      <c r="G12" s="11">
        <v>11.36</v>
      </c>
      <c r="H12" s="9">
        <v>25070167</v>
      </c>
    </row>
    <row r="13" ht="16.5" spans="1:8">
      <c r="A13" s="39" t="s">
        <v>1711</v>
      </c>
      <c r="B13" s="9">
        <v>310.8</v>
      </c>
      <c r="C13" s="10">
        <v>111.3</v>
      </c>
      <c r="D13" s="11">
        <v>2.87</v>
      </c>
      <c r="E13" s="12">
        <v>79.2</v>
      </c>
      <c r="F13" s="12">
        <v>95.4</v>
      </c>
      <c r="G13" s="11">
        <v>11.91</v>
      </c>
      <c r="H13" s="9">
        <v>25050068</v>
      </c>
    </row>
    <row r="14" ht="16.5" spans="1:8">
      <c r="A14" s="39" t="s">
        <v>1712</v>
      </c>
      <c r="B14" s="9">
        <v>511.2</v>
      </c>
      <c r="C14" s="10">
        <v>216.2</v>
      </c>
      <c r="D14" s="11">
        <v>5.81</v>
      </c>
      <c r="E14" s="12">
        <v>82.8</v>
      </c>
      <c r="F14" s="12">
        <v>95.9</v>
      </c>
      <c r="G14" s="11">
        <v>11.71</v>
      </c>
      <c r="H14" s="9">
        <v>25030453</v>
      </c>
    </row>
    <row r="15" ht="16.5" spans="1:8">
      <c r="A15" s="39" t="s">
        <v>1713</v>
      </c>
      <c r="B15" s="9">
        <v>476.2</v>
      </c>
      <c r="C15" s="10">
        <v>134.2</v>
      </c>
      <c r="D15" s="11">
        <v>3.31</v>
      </c>
      <c r="E15" s="12">
        <v>72.6</v>
      </c>
      <c r="F15" s="12">
        <v>92.5</v>
      </c>
      <c r="G15" s="11">
        <v>11.32</v>
      </c>
      <c r="H15" s="9">
        <v>25040253</v>
      </c>
    </row>
    <row r="16" ht="16.5" spans="1:8">
      <c r="A16" s="39" t="s">
        <v>1714</v>
      </c>
      <c r="B16" s="9">
        <v>368</v>
      </c>
      <c r="C16" s="10">
        <v>106.8</v>
      </c>
      <c r="D16" s="11">
        <v>2.51</v>
      </c>
      <c r="E16" s="12">
        <v>67</v>
      </c>
      <c r="F16" s="12">
        <v>89.3</v>
      </c>
      <c r="G16" s="11">
        <v>10.7</v>
      </c>
      <c r="H16" s="9">
        <v>25020315</v>
      </c>
    </row>
    <row r="17" ht="16.5" spans="1:8">
      <c r="A17" s="39" t="s">
        <v>1715</v>
      </c>
      <c r="B17" s="9">
        <v>770.6</v>
      </c>
      <c r="C17" s="10">
        <v>214</v>
      </c>
      <c r="D17" s="11">
        <v>5.52</v>
      </c>
      <c r="E17" s="12">
        <v>82.3</v>
      </c>
      <c r="F17" s="12">
        <v>95.1</v>
      </c>
      <c r="G17" s="11">
        <v>11.13</v>
      </c>
      <c r="H17" s="9">
        <v>25040245</v>
      </c>
    </row>
    <row r="18" ht="16.5" spans="1:8">
      <c r="A18" s="39" t="s">
        <v>1716</v>
      </c>
      <c r="B18" s="9">
        <v>813.2</v>
      </c>
      <c r="C18" s="10">
        <v>109.1</v>
      </c>
      <c r="D18" s="11">
        <v>2.93</v>
      </c>
      <c r="E18" s="12">
        <v>81.4</v>
      </c>
      <c r="F18" s="12">
        <v>97</v>
      </c>
      <c r="G18" s="11">
        <v>11.87</v>
      </c>
      <c r="H18" s="9">
        <v>25050211</v>
      </c>
    </row>
    <row r="19" ht="16.5" spans="1:8">
      <c r="A19" s="39" t="s">
        <v>1717</v>
      </c>
      <c r="B19" s="9">
        <v>379.4</v>
      </c>
      <c r="C19" s="10">
        <v>114.9</v>
      </c>
      <c r="D19" s="11">
        <v>3.03</v>
      </c>
      <c r="E19" s="12">
        <v>79.5</v>
      </c>
      <c r="F19" s="12">
        <v>95.6</v>
      </c>
      <c r="G19" s="11">
        <v>11.63</v>
      </c>
      <c r="H19" s="9">
        <v>25040273</v>
      </c>
    </row>
    <row r="20" ht="16.5" spans="1:8">
      <c r="A20" s="23" t="s">
        <v>1718</v>
      </c>
      <c r="B20" s="14">
        <v>341.6</v>
      </c>
      <c r="C20" s="15">
        <v>126.8</v>
      </c>
      <c r="D20" s="16">
        <v>3.49</v>
      </c>
      <c r="E20" s="17">
        <v>80.9</v>
      </c>
      <c r="F20" s="17">
        <v>96</v>
      </c>
      <c r="G20" s="16">
        <v>12.81</v>
      </c>
      <c r="H20" s="14">
        <v>25070253</v>
      </c>
    </row>
    <row r="21" ht="16.5" spans="1:8">
      <c r="A21" s="23" t="s">
        <v>1719</v>
      </c>
      <c r="B21" s="14">
        <v>809.4</v>
      </c>
      <c r="C21" s="15">
        <v>120.5</v>
      </c>
      <c r="D21" s="16">
        <v>3.12</v>
      </c>
      <c r="E21" s="17">
        <v>76.2</v>
      </c>
      <c r="F21" s="17">
        <v>94.7</v>
      </c>
      <c r="G21" s="16">
        <v>11.23</v>
      </c>
      <c r="H21" s="14">
        <v>25070123</v>
      </c>
    </row>
    <row r="22" ht="16.5" spans="1:8">
      <c r="A22" s="23"/>
      <c r="B22" s="14"/>
      <c r="C22" s="15"/>
      <c r="D22" s="16"/>
      <c r="E22" s="17"/>
      <c r="F22" s="17"/>
      <c r="G22" s="16"/>
      <c r="H22" s="14"/>
    </row>
    <row r="23" ht="16.5" spans="1:8">
      <c r="A23" s="23"/>
      <c r="B23" s="14"/>
      <c r="C23" s="15"/>
      <c r="D23" s="16"/>
      <c r="E23" s="17"/>
      <c r="F23" s="17"/>
      <c r="G23" s="16"/>
      <c r="H23" s="14"/>
    </row>
  </sheetData>
  <conditionalFormatting sqref="A1:A2">
    <cfRule type="duplicateValues" dxfId="0" priority="1"/>
  </conditionalFormatting>
  <dataValidations count="1">
    <dataValidation allowBlank="1" showInputMessage="1" showErrorMessage="1" sqref="C21 B3:C20 B22:C23"/>
  </dataValidations>
  <pageMargins left="0.75" right="0.75" top="1" bottom="1" header="0.5" footer="0.5"/>
  <pageSetup paperSize="9" orientation="portrait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I1" sqref="A$1:I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722</v>
      </c>
      <c r="B1" s="2">
        <f>SUM(B3:B30)</f>
        <v>9963.8</v>
      </c>
      <c r="C1" s="3" cm="1">
        <f t="array" ref="C1">SUMPRODUCT(C3:C30*B3:B30)/B1</f>
        <v>149.554457134828</v>
      </c>
      <c r="D1" s="4" cm="1">
        <f t="array" ref="D1">SUMPRODUCT(B3:B30*D3:D30)/B1</f>
        <v>3.8040948232602</v>
      </c>
      <c r="E1" s="3" cm="1">
        <f t="array" ref="E1">SUMPRODUCT(B3:B30*E3:E30)/B1</f>
        <v>78.2143238523455</v>
      </c>
      <c r="F1" s="3" cm="1">
        <f t="array" ref="F1">SUMPRODUCT(B3:B30*F3:F30)/B1</f>
        <v>94.9967562576527</v>
      </c>
      <c r="G1" s="3" cm="1">
        <f t="array" ref="G1">SUMPRODUCT(B3:B30*G3:G30)/B1</f>
        <v>11.61258295028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1720</v>
      </c>
      <c r="B3" s="9">
        <v>686.8</v>
      </c>
      <c r="C3" s="10">
        <v>161.1</v>
      </c>
      <c r="D3" s="11">
        <v>4.29</v>
      </c>
      <c r="E3" s="12">
        <v>81.9</v>
      </c>
      <c r="F3" s="12">
        <v>96.2</v>
      </c>
      <c r="G3" s="11">
        <v>12.04</v>
      </c>
      <c r="H3" s="9">
        <v>25060198</v>
      </c>
    </row>
    <row r="4" ht="16.5" spans="1:8">
      <c r="A4" s="39" t="s">
        <v>1721</v>
      </c>
      <c r="B4" s="9">
        <v>507.4</v>
      </c>
      <c r="C4" s="10">
        <v>129.3</v>
      </c>
      <c r="D4" s="11">
        <v>3.36</v>
      </c>
      <c r="E4" s="12">
        <v>74.2</v>
      </c>
      <c r="F4" s="12">
        <v>94.3</v>
      </c>
      <c r="G4" s="11">
        <v>11.16</v>
      </c>
      <c r="H4" s="9">
        <v>25030251</v>
      </c>
    </row>
    <row r="5" ht="16.5" spans="1:8">
      <c r="A5" s="39" t="s">
        <v>1722</v>
      </c>
      <c r="B5" s="9">
        <v>482</v>
      </c>
      <c r="C5" s="10">
        <v>238.4</v>
      </c>
      <c r="D5" s="11">
        <v>5.35</v>
      </c>
      <c r="E5" s="12">
        <v>86.4</v>
      </c>
      <c r="F5" s="12">
        <v>96.4</v>
      </c>
      <c r="G5" s="11">
        <v>10.96</v>
      </c>
      <c r="H5" s="9">
        <v>25030066</v>
      </c>
    </row>
    <row r="6" ht="16.5" spans="1:8">
      <c r="A6" s="39" t="s">
        <v>1723</v>
      </c>
      <c r="B6" s="9">
        <v>523</v>
      </c>
      <c r="C6" s="10">
        <v>115.7</v>
      </c>
      <c r="D6" s="11">
        <v>3.03</v>
      </c>
      <c r="E6" s="12">
        <v>73.6</v>
      </c>
      <c r="F6" s="12">
        <v>94.8</v>
      </c>
      <c r="G6" s="11">
        <v>11.91</v>
      </c>
      <c r="H6" s="9">
        <v>25030269</v>
      </c>
    </row>
    <row r="7" ht="16.5" spans="1:8">
      <c r="A7" s="39" t="s">
        <v>1724</v>
      </c>
      <c r="B7" s="9">
        <v>349.4</v>
      </c>
      <c r="C7" s="10">
        <v>239.7</v>
      </c>
      <c r="D7" s="11">
        <v>5.57</v>
      </c>
      <c r="E7" s="12">
        <v>85.6</v>
      </c>
      <c r="F7" s="12">
        <v>96</v>
      </c>
      <c r="G7" s="11">
        <v>11.12</v>
      </c>
      <c r="H7" s="9">
        <v>25030067</v>
      </c>
    </row>
    <row r="8" ht="16.5" spans="1:8">
      <c r="A8" s="39" t="s">
        <v>1725</v>
      </c>
      <c r="B8" s="9">
        <v>778.6</v>
      </c>
      <c r="C8" s="10">
        <v>100.2</v>
      </c>
      <c r="D8" s="11">
        <v>2.7</v>
      </c>
      <c r="E8" s="12">
        <v>80.5</v>
      </c>
      <c r="F8" s="12">
        <v>97.8</v>
      </c>
      <c r="G8" s="11">
        <v>12.5</v>
      </c>
      <c r="H8" s="9">
        <v>25030202</v>
      </c>
    </row>
    <row r="9" ht="16.5" spans="1:8">
      <c r="A9" s="39" t="s">
        <v>1726</v>
      </c>
      <c r="B9" s="9">
        <v>388.2</v>
      </c>
      <c r="C9" s="10">
        <v>203</v>
      </c>
      <c r="D9" s="11">
        <v>5.41</v>
      </c>
      <c r="E9" s="12">
        <v>82.2</v>
      </c>
      <c r="F9" s="12">
        <v>95.1</v>
      </c>
      <c r="G9" s="11">
        <v>12.12</v>
      </c>
      <c r="H9" s="9">
        <v>25040380</v>
      </c>
    </row>
    <row r="10" ht="16.5" spans="1:8">
      <c r="A10" s="39" t="s">
        <v>1727</v>
      </c>
      <c r="B10" s="9">
        <v>701</v>
      </c>
      <c r="C10" s="10">
        <v>103</v>
      </c>
      <c r="D10" s="11">
        <v>2.64</v>
      </c>
      <c r="E10" s="12">
        <v>67.8</v>
      </c>
      <c r="F10" s="12">
        <v>92.2</v>
      </c>
      <c r="G10" s="11">
        <v>9.97</v>
      </c>
      <c r="H10" s="9">
        <v>25030237</v>
      </c>
    </row>
    <row r="11" ht="16.5" spans="1:8">
      <c r="A11" s="39" t="s">
        <v>1728</v>
      </c>
      <c r="B11" s="9">
        <v>544.8</v>
      </c>
      <c r="C11" s="10">
        <v>109.9</v>
      </c>
      <c r="D11" s="11">
        <v>2.9</v>
      </c>
      <c r="E11" s="12">
        <v>72.7</v>
      </c>
      <c r="F11" s="12">
        <v>94.4</v>
      </c>
      <c r="G11" s="11">
        <v>11.92</v>
      </c>
      <c r="H11" s="9">
        <v>25030270</v>
      </c>
    </row>
    <row r="12" ht="16.5" spans="1:8">
      <c r="A12" s="39" t="s">
        <v>1729</v>
      </c>
      <c r="B12" s="9">
        <v>515.4</v>
      </c>
      <c r="C12" s="10">
        <v>197.2</v>
      </c>
      <c r="D12" s="11">
        <v>5.98</v>
      </c>
      <c r="E12" s="12">
        <v>76.4</v>
      </c>
      <c r="F12" s="12">
        <v>92.3</v>
      </c>
      <c r="G12" s="11">
        <v>12.58</v>
      </c>
      <c r="H12" s="9">
        <v>25040382</v>
      </c>
    </row>
    <row r="13" ht="16.5" spans="1:8">
      <c r="A13" s="39" t="s">
        <v>1730</v>
      </c>
      <c r="B13" s="9">
        <v>518.8</v>
      </c>
      <c r="C13" s="10">
        <v>256.5</v>
      </c>
      <c r="D13" s="11">
        <v>6.13</v>
      </c>
      <c r="E13" s="12">
        <v>87.1</v>
      </c>
      <c r="F13" s="12">
        <v>97.2</v>
      </c>
      <c r="G13" s="11">
        <v>11.08</v>
      </c>
      <c r="H13" s="9">
        <v>25020217</v>
      </c>
    </row>
    <row r="14" ht="16.5" spans="1:8">
      <c r="A14" s="39" t="s">
        <v>1731</v>
      </c>
      <c r="B14" s="9">
        <v>702.2</v>
      </c>
      <c r="C14" s="10">
        <v>110.5</v>
      </c>
      <c r="D14" s="11">
        <v>3.03</v>
      </c>
      <c r="E14" s="12">
        <v>71.8</v>
      </c>
      <c r="F14" s="12">
        <v>93</v>
      </c>
      <c r="G14" s="11">
        <v>10.84</v>
      </c>
      <c r="H14" s="9">
        <v>25030291</v>
      </c>
    </row>
    <row r="15" ht="16.5" spans="1:8">
      <c r="A15" s="39" t="s">
        <v>1732</v>
      </c>
      <c r="B15" s="9">
        <v>865.2</v>
      </c>
      <c r="C15" s="10">
        <v>106.8</v>
      </c>
      <c r="D15" s="11">
        <v>2.93</v>
      </c>
      <c r="E15" s="12">
        <v>81.6</v>
      </c>
      <c r="F15" s="12">
        <v>97</v>
      </c>
      <c r="G15" s="11">
        <v>13</v>
      </c>
      <c r="H15" s="9">
        <v>25070043</v>
      </c>
    </row>
    <row r="16" ht="16.5" spans="1:8">
      <c r="A16" s="39" t="s">
        <v>1733</v>
      </c>
      <c r="B16" s="9">
        <v>691.8</v>
      </c>
      <c r="C16" s="10">
        <v>239</v>
      </c>
      <c r="D16" s="11">
        <v>5.13</v>
      </c>
      <c r="E16" s="12">
        <v>81.7</v>
      </c>
      <c r="F16" s="12">
        <v>95.1</v>
      </c>
      <c r="G16" s="11">
        <v>11.15</v>
      </c>
      <c r="H16" s="9">
        <v>25070142</v>
      </c>
    </row>
    <row r="17" ht="16.5" spans="1:8">
      <c r="A17" s="39" t="s">
        <v>1734</v>
      </c>
      <c r="B17" s="9">
        <v>683.2</v>
      </c>
      <c r="C17" s="10">
        <v>103.8</v>
      </c>
      <c r="D17" s="11">
        <v>2.67</v>
      </c>
      <c r="E17" s="12">
        <v>79.4</v>
      </c>
      <c r="F17" s="12">
        <v>95.2</v>
      </c>
      <c r="G17" s="11">
        <v>12.22</v>
      </c>
      <c r="H17" s="9">
        <v>25050239</v>
      </c>
    </row>
    <row r="18" ht="16.5" spans="1:8">
      <c r="A18" s="39" t="s">
        <v>781</v>
      </c>
      <c r="B18" s="9">
        <v>537.4</v>
      </c>
      <c r="C18" s="10">
        <v>104.4</v>
      </c>
      <c r="D18" s="11">
        <v>2.83</v>
      </c>
      <c r="E18" s="12">
        <v>72.1</v>
      </c>
      <c r="F18" s="12">
        <v>91.6</v>
      </c>
      <c r="G18" s="11">
        <v>11.34</v>
      </c>
      <c r="H18" s="9">
        <v>25030139</v>
      </c>
    </row>
    <row r="19" ht="16.5" spans="1:8">
      <c r="A19" s="23" t="s">
        <v>1735</v>
      </c>
      <c r="B19" s="14">
        <v>488.6</v>
      </c>
      <c r="C19" s="15">
        <v>140.7</v>
      </c>
      <c r="D19" s="16">
        <v>3.46</v>
      </c>
      <c r="E19" s="17">
        <v>78.9</v>
      </c>
      <c r="F19" s="17">
        <v>95.4</v>
      </c>
      <c r="G19" s="16">
        <v>10.66</v>
      </c>
      <c r="H19" s="14">
        <v>25040048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4:B8 B10:B11 B13:B19 C4:C19"/>
  </dataValidations>
  <pageMargins left="0.75" right="0.75" top="1" bottom="1" header="0.5" footer="0.5"/>
  <pageSetup paperSize="9" orientation="portrait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J1" sqref="J$1:M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723</v>
      </c>
      <c r="B1" s="2">
        <f>SUM(B3:B30)</f>
        <v>10154.4</v>
      </c>
      <c r="C1" s="3" cm="1">
        <f t="array" ref="C1">SUMPRODUCT(C3:C30*B3:B30)/B1</f>
        <v>150.902412747183</v>
      </c>
      <c r="D1" s="4" cm="1">
        <f t="array" ref="D1">SUMPRODUCT(B3:B30*D3:D30)/B1</f>
        <v>3.81156405105176</v>
      </c>
      <c r="E1" s="3" cm="1">
        <f t="array" ref="E1">SUMPRODUCT(B3:B30*E3:E30)/B1</f>
        <v>79.0236232569132</v>
      </c>
      <c r="F1" s="3" cm="1">
        <f t="array" ref="F1">SUMPRODUCT(B3:B30*F3:F30)/B1</f>
        <v>94.8002068069014</v>
      </c>
      <c r="G1" s="3" cm="1">
        <f t="array" ref="G1">SUMPRODUCT(B3:B30*G3:G30)/B1</f>
        <v>11.6640293862759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1736</v>
      </c>
      <c r="B3" s="9">
        <v>842.8</v>
      </c>
      <c r="C3" s="10">
        <v>175.4</v>
      </c>
      <c r="D3" s="11">
        <v>4.46</v>
      </c>
      <c r="E3" s="12">
        <v>76.9</v>
      </c>
      <c r="F3" s="12">
        <v>93.3</v>
      </c>
      <c r="G3" s="11">
        <v>12</v>
      </c>
      <c r="H3" s="9">
        <v>25070251</v>
      </c>
    </row>
    <row r="4" ht="16.5" spans="1:8">
      <c r="A4" s="39" t="s">
        <v>1737</v>
      </c>
      <c r="B4" s="9">
        <v>486</v>
      </c>
      <c r="C4" s="10">
        <v>197.4</v>
      </c>
      <c r="D4" s="11">
        <v>6.26</v>
      </c>
      <c r="E4" s="12">
        <v>70.5</v>
      </c>
      <c r="F4" s="12">
        <v>89.9</v>
      </c>
      <c r="G4" s="11">
        <v>11.35</v>
      </c>
      <c r="H4" s="9">
        <v>25040502</v>
      </c>
    </row>
    <row r="5" ht="16.5" spans="1:8">
      <c r="A5" s="39" t="s">
        <v>1738</v>
      </c>
      <c r="B5" s="9">
        <v>730.6</v>
      </c>
      <c r="C5" s="10">
        <v>110.7</v>
      </c>
      <c r="D5" s="11">
        <v>2.87</v>
      </c>
      <c r="E5" s="12">
        <v>72.3</v>
      </c>
      <c r="F5" s="12">
        <v>92.1</v>
      </c>
      <c r="G5" s="11">
        <v>11.3</v>
      </c>
      <c r="H5" s="9">
        <v>25030075</v>
      </c>
    </row>
    <row r="6" ht="16.5" spans="1:8">
      <c r="A6" s="39" t="s">
        <v>1739</v>
      </c>
      <c r="B6" s="9">
        <v>360.2</v>
      </c>
      <c r="C6" s="10">
        <v>117.7</v>
      </c>
      <c r="D6" s="11">
        <v>3.03</v>
      </c>
      <c r="E6" s="12">
        <v>78</v>
      </c>
      <c r="F6" s="12">
        <v>95.9</v>
      </c>
      <c r="G6" s="11">
        <v>11.34</v>
      </c>
      <c r="H6" s="9">
        <v>25030366</v>
      </c>
    </row>
    <row r="7" ht="16.5" spans="1:8">
      <c r="A7" s="39" t="s">
        <v>1740</v>
      </c>
      <c r="B7" s="9">
        <v>527.4</v>
      </c>
      <c r="C7" s="10">
        <v>126.3</v>
      </c>
      <c r="D7" s="11">
        <v>3.36</v>
      </c>
      <c r="E7" s="12">
        <v>77.3</v>
      </c>
      <c r="F7" s="12">
        <v>94.6</v>
      </c>
      <c r="G7" s="11">
        <v>11.62</v>
      </c>
      <c r="H7" s="9">
        <v>25050066</v>
      </c>
    </row>
    <row r="8" ht="16.5" spans="1:8">
      <c r="A8" s="39" t="s">
        <v>1741</v>
      </c>
      <c r="B8" s="9">
        <v>743.8</v>
      </c>
      <c r="C8" s="10">
        <v>121.5</v>
      </c>
      <c r="D8" s="11">
        <v>3.34</v>
      </c>
      <c r="E8" s="12">
        <v>75.8</v>
      </c>
      <c r="F8" s="12">
        <v>93.7</v>
      </c>
      <c r="G8" s="11">
        <v>12.16</v>
      </c>
      <c r="H8" s="9">
        <v>25050144</v>
      </c>
    </row>
    <row r="9" ht="16.5" spans="1:8">
      <c r="A9" s="39" t="s">
        <v>1742</v>
      </c>
      <c r="B9" s="9">
        <v>794</v>
      </c>
      <c r="C9" s="10">
        <v>239.8</v>
      </c>
      <c r="D9" s="11">
        <v>4.63</v>
      </c>
      <c r="E9" s="12">
        <v>88.7</v>
      </c>
      <c r="F9" s="12">
        <v>97.6</v>
      </c>
      <c r="G9" s="11">
        <v>11.58</v>
      </c>
      <c r="H9" s="9">
        <v>25070051</v>
      </c>
    </row>
    <row r="10" ht="16.5" spans="1:8">
      <c r="A10" s="39" t="s">
        <v>1743</v>
      </c>
      <c r="B10" s="9">
        <v>519.8</v>
      </c>
      <c r="C10" s="10">
        <v>114.8</v>
      </c>
      <c r="D10" s="11">
        <v>3.06</v>
      </c>
      <c r="E10" s="12">
        <v>70.7</v>
      </c>
      <c r="F10" s="12">
        <v>91.4</v>
      </c>
      <c r="G10" s="11">
        <v>10.87</v>
      </c>
      <c r="H10" s="9">
        <v>25030073</v>
      </c>
    </row>
    <row r="11" ht="16.5" spans="1:8">
      <c r="A11" s="39" t="s">
        <v>1744</v>
      </c>
      <c r="B11" s="9">
        <v>647.8</v>
      </c>
      <c r="C11" s="10">
        <v>236.9</v>
      </c>
      <c r="D11" s="11">
        <v>4.94</v>
      </c>
      <c r="E11" s="12">
        <v>86.9</v>
      </c>
      <c r="F11" s="12">
        <v>97.2</v>
      </c>
      <c r="G11" s="11">
        <v>10.36</v>
      </c>
      <c r="H11" s="9">
        <v>25070052</v>
      </c>
    </row>
    <row r="12" ht="16.5" spans="1:8">
      <c r="A12" s="39" t="s">
        <v>1745</v>
      </c>
      <c r="B12" s="9">
        <v>246.6</v>
      </c>
      <c r="C12" s="10">
        <v>132.8</v>
      </c>
      <c r="D12" s="11">
        <v>3.61</v>
      </c>
      <c r="E12" s="12">
        <v>82.7</v>
      </c>
      <c r="F12" s="12">
        <v>96.9</v>
      </c>
      <c r="G12" s="11">
        <v>12.3</v>
      </c>
      <c r="H12" s="9">
        <v>25070057</v>
      </c>
    </row>
    <row r="13" ht="16.5" spans="1:8">
      <c r="A13" s="39" t="s">
        <v>1746</v>
      </c>
      <c r="B13" s="9">
        <v>397.8</v>
      </c>
      <c r="C13" s="10">
        <v>107.1</v>
      </c>
      <c r="D13" s="11">
        <v>2.87</v>
      </c>
      <c r="E13" s="12">
        <v>80.5</v>
      </c>
      <c r="F13" s="12">
        <v>95.9</v>
      </c>
      <c r="G13" s="11">
        <v>11.28</v>
      </c>
      <c r="H13" s="9">
        <v>25060188</v>
      </c>
    </row>
    <row r="14" ht="16.5" spans="1:8">
      <c r="A14" s="39" t="s">
        <v>1747</v>
      </c>
      <c r="B14" s="9">
        <v>720.4</v>
      </c>
      <c r="C14" s="10">
        <v>102.7</v>
      </c>
      <c r="D14" s="11">
        <v>2.83</v>
      </c>
      <c r="E14" s="12">
        <v>79.3</v>
      </c>
      <c r="F14" s="12">
        <v>96</v>
      </c>
      <c r="G14" s="11">
        <v>12.68</v>
      </c>
      <c r="H14" s="9">
        <v>25060170</v>
      </c>
    </row>
    <row r="15" ht="16.5" spans="1:8">
      <c r="A15" s="39" t="s">
        <v>1748</v>
      </c>
      <c r="B15" s="9">
        <v>512.6</v>
      </c>
      <c r="C15" s="10">
        <v>196.6</v>
      </c>
      <c r="D15" s="11">
        <v>5.57</v>
      </c>
      <c r="E15" s="12">
        <v>80.1</v>
      </c>
      <c r="F15" s="12">
        <v>94.3</v>
      </c>
      <c r="G15" s="11">
        <v>12.28</v>
      </c>
      <c r="H15" s="9">
        <v>25040265</v>
      </c>
    </row>
    <row r="16" ht="16.5" spans="1:8">
      <c r="A16" s="39" t="s">
        <v>1749</v>
      </c>
      <c r="B16" s="9">
        <v>823.2</v>
      </c>
      <c r="C16" s="10">
        <v>114.1</v>
      </c>
      <c r="D16" s="11">
        <v>3.12</v>
      </c>
      <c r="E16" s="12">
        <v>79.6</v>
      </c>
      <c r="F16" s="12">
        <v>95.7</v>
      </c>
      <c r="G16" s="11">
        <v>11.82</v>
      </c>
      <c r="H16" s="9">
        <v>25060167</v>
      </c>
    </row>
    <row r="17" ht="16.5" spans="1:8">
      <c r="A17" s="39" t="s">
        <v>1750</v>
      </c>
      <c r="B17" s="9">
        <v>820.2</v>
      </c>
      <c r="C17" s="10">
        <v>111.9</v>
      </c>
      <c r="D17" s="11">
        <v>3.12</v>
      </c>
      <c r="E17" s="12">
        <v>79.3</v>
      </c>
      <c r="F17" s="12">
        <v>95.5</v>
      </c>
      <c r="G17" s="11">
        <v>11.89</v>
      </c>
      <c r="H17" s="9">
        <v>25060168</v>
      </c>
    </row>
    <row r="18" ht="16.5" spans="1:8">
      <c r="A18" s="23" t="s">
        <v>1751</v>
      </c>
      <c r="B18" s="14">
        <v>476.4</v>
      </c>
      <c r="C18" s="15">
        <v>240.4</v>
      </c>
      <c r="D18" s="16">
        <v>5.13</v>
      </c>
      <c r="E18" s="17">
        <v>85.8</v>
      </c>
      <c r="F18" s="17">
        <v>96.7</v>
      </c>
      <c r="G18" s="16">
        <v>11.29</v>
      </c>
      <c r="H18" s="14">
        <v>25060230</v>
      </c>
    </row>
    <row r="19" ht="16.5" spans="1:8">
      <c r="A19" s="23" t="s">
        <v>1752</v>
      </c>
      <c r="B19" s="14">
        <v>504.8</v>
      </c>
      <c r="C19" s="15">
        <v>107.8</v>
      </c>
      <c r="D19" s="16">
        <v>2.96</v>
      </c>
      <c r="E19" s="17">
        <v>78.8</v>
      </c>
      <c r="F19" s="17">
        <v>95.5</v>
      </c>
      <c r="G19" s="16">
        <v>11.75</v>
      </c>
      <c r="H19" s="14">
        <v>25040327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C4 B5:C19"/>
  </dataValidations>
  <pageMargins left="0.75" right="0.75" top="1" bottom="1" header="0.5" footer="0.5"/>
  <pageSetup paperSize="9" orientation="portrait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J1" sqref="J$1:U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724</v>
      </c>
      <c r="B1" s="2">
        <f>SUM(B3:B30)</f>
        <v>10013.8</v>
      </c>
      <c r="C1" s="3" cm="1">
        <f t="array" ref="C1">SUMPRODUCT(C3:C30*B3:B30)/B1</f>
        <v>195.686524596057</v>
      </c>
      <c r="D1" s="4" cm="1">
        <f t="array" ref="D1">SUMPRODUCT(B3:B30*D3:D30)/B1</f>
        <v>4.89502406678783</v>
      </c>
      <c r="E1" s="3" cm="1">
        <f t="array" ref="E1">SUMPRODUCT(B3:B30*E3:E30)/B1</f>
        <v>81.7620923126086</v>
      </c>
      <c r="F1" s="3" cm="1">
        <f t="array" ref="F1">SUMPRODUCT(B3:B30*F3:F30)/B1</f>
        <v>95.1752102099103</v>
      </c>
    </row>
    <row r="2" ht="16.5" spans="1:7">
      <c r="A2" s="6">
        <v>180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1753</v>
      </c>
      <c r="B3" s="9">
        <v>492.2</v>
      </c>
      <c r="C3" s="10">
        <v>196.6</v>
      </c>
      <c r="D3" s="11">
        <v>5.52</v>
      </c>
      <c r="E3" s="12">
        <v>79.7</v>
      </c>
      <c r="F3" s="12">
        <v>94</v>
      </c>
      <c r="G3" s="114">
        <v>25040266</v>
      </c>
    </row>
    <row r="4" ht="16.5" spans="1:7">
      <c r="A4" s="39" t="s">
        <v>1754</v>
      </c>
      <c r="B4" s="9">
        <v>631</v>
      </c>
      <c r="C4" s="10">
        <v>194.2</v>
      </c>
      <c r="D4" s="11">
        <v>5.49</v>
      </c>
      <c r="E4" s="12">
        <v>79.1</v>
      </c>
      <c r="F4" s="12">
        <v>93.8</v>
      </c>
      <c r="G4" s="114">
        <v>25040267</v>
      </c>
    </row>
    <row r="5" ht="16.5" spans="1:7">
      <c r="A5" s="39" t="s">
        <v>1755</v>
      </c>
      <c r="B5" s="9">
        <v>712.6</v>
      </c>
      <c r="C5" s="10">
        <v>226.6</v>
      </c>
      <c r="D5" s="11">
        <v>4.41</v>
      </c>
      <c r="E5" s="12">
        <v>91.8</v>
      </c>
      <c r="F5" s="12">
        <v>98.7</v>
      </c>
      <c r="G5" s="34">
        <v>25040109</v>
      </c>
    </row>
    <row r="6" ht="16.5" spans="1:7">
      <c r="A6" s="39" t="s">
        <v>1756</v>
      </c>
      <c r="B6" s="9">
        <v>432.8</v>
      </c>
      <c r="C6" s="10">
        <v>182.2</v>
      </c>
      <c r="D6" s="11">
        <v>4.46</v>
      </c>
      <c r="E6" s="12">
        <v>83.5</v>
      </c>
      <c r="F6" s="12">
        <v>96.6</v>
      </c>
      <c r="G6" s="34">
        <v>25040118</v>
      </c>
    </row>
    <row r="7" ht="16.5" spans="1:7">
      <c r="A7" s="75" t="s">
        <v>1757</v>
      </c>
      <c r="B7" s="9">
        <v>494.8</v>
      </c>
      <c r="C7" s="10">
        <v>187.2</v>
      </c>
      <c r="D7" s="11">
        <v>4.49</v>
      </c>
      <c r="E7" s="12">
        <v>83.9</v>
      </c>
      <c r="F7" s="12">
        <v>96.8</v>
      </c>
      <c r="G7" s="34">
        <v>25040117</v>
      </c>
    </row>
    <row r="8" ht="16.5" spans="1:7">
      <c r="A8" s="39" t="s">
        <v>1758</v>
      </c>
      <c r="B8" s="9">
        <v>380.8</v>
      </c>
      <c r="C8" s="10">
        <v>212</v>
      </c>
      <c r="D8" s="11">
        <v>4.46</v>
      </c>
      <c r="E8" s="12">
        <v>90.3</v>
      </c>
      <c r="F8" s="12">
        <v>98.2</v>
      </c>
      <c r="G8" s="34">
        <v>25040111</v>
      </c>
    </row>
    <row r="9" ht="16.5" spans="1:7">
      <c r="A9" s="39" t="s">
        <v>1759</v>
      </c>
      <c r="B9" s="9">
        <v>524.8</v>
      </c>
      <c r="C9" s="10">
        <v>172.8</v>
      </c>
      <c r="D9" s="11">
        <v>4.15</v>
      </c>
      <c r="E9" s="12">
        <v>81.3</v>
      </c>
      <c r="F9" s="12">
        <v>95.6</v>
      </c>
      <c r="G9" s="34">
        <v>25040132</v>
      </c>
    </row>
    <row r="10" ht="16.5" spans="1:7">
      <c r="A10" s="39" t="s">
        <v>1760</v>
      </c>
      <c r="B10" s="9">
        <v>528.2</v>
      </c>
      <c r="C10" s="10">
        <v>221.6</v>
      </c>
      <c r="D10" s="11">
        <v>5.02</v>
      </c>
      <c r="E10" s="12">
        <v>88.7</v>
      </c>
      <c r="F10" s="12">
        <v>98.1</v>
      </c>
      <c r="G10" s="34">
        <v>25040114</v>
      </c>
    </row>
    <row r="11" ht="16.5" spans="1:7">
      <c r="A11" s="39" t="s">
        <v>1761</v>
      </c>
      <c r="B11" s="9">
        <v>484.8</v>
      </c>
      <c r="C11" s="10">
        <v>197.2</v>
      </c>
      <c r="D11" s="11">
        <v>5.02</v>
      </c>
      <c r="E11" s="12">
        <v>83.9</v>
      </c>
      <c r="F11" s="12">
        <v>96.4</v>
      </c>
      <c r="G11" s="114">
        <v>25040302</v>
      </c>
    </row>
    <row r="12" ht="16.5" spans="1:7">
      <c r="A12" s="39" t="s">
        <v>1762</v>
      </c>
      <c r="B12" s="9">
        <v>373.4</v>
      </c>
      <c r="C12" s="10">
        <v>164.4</v>
      </c>
      <c r="D12" s="11">
        <v>4.49</v>
      </c>
      <c r="E12" s="12">
        <v>73.9</v>
      </c>
      <c r="F12" s="12">
        <v>92.2</v>
      </c>
      <c r="G12" s="114">
        <v>25050065</v>
      </c>
    </row>
    <row r="13" ht="16.5" spans="1:7">
      <c r="A13" s="39" t="s">
        <v>1763</v>
      </c>
      <c r="B13" s="9">
        <v>500</v>
      </c>
      <c r="C13" s="10">
        <v>214.7</v>
      </c>
      <c r="D13" s="11">
        <v>5.13</v>
      </c>
      <c r="E13" s="12">
        <v>85.8</v>
      </c>
      <c r="F13" s="12">
        <v>97.3</v>
      </c>
      <c r="G13" s="34">
        <v>25040134</v>
      </c>
    </row>
    <row r="14" ht="16.5" spans="1:7">
      <c r="A14" s="39" t="s">
        <v>1764</v>
      </c>
      <c r="B14" s="9">
        <v>466</v>
      </c>
      <c r="C14" s="10">
        <v>175.4</v>
      </c>
      <c r="D14" s="11">
        <v>4.63</v>
      </c>
      <c r="E14" s="12">
        <v>77.4</v>
      </c>
      <c r="F14" s="12">
        <v>93.5</v>
      </c>
      <c r="G14" s="34">
        <v>25070042</v>
      </c>
    </row>
    <row r="15" ht="16.5" spans="1:7">
      <c r="A15" s="39" t="s">
        <v>1765</v>
      </c>
      <c r="B15" s="9">
        <v>509.4</v>
      </c>
      <c r="C15" s="10">
        <v>215.7</v>
      </c>
      <c r="D15" s="11">
        <v>5.11</v>
      </c>
      <c r="E15" s="12">
        <v>85.7</v>
      </c>
      <c r="F15" s="12">
        <v>97.2</v>
      </c>
      <c r="G15" s="34">
        <v>25040133</v>
      </c>
    </row>
    <row r="16" ht="16.5" spans="1:7">
      <c r="A16" s="39" t="s">
        <v>1766</v>
      </c>
      <c r="B16" s="9">
        <v>498.8</v>
      </c>
      <c r="C16" s="10">
        <v>186.7</v>
      </c>
      <c r="D16" s="11">
        <v>5.52</v>
      </c>
      <c r="E16" s="12">
        <v>72.7</v>
      </c>
      <c r="F16" s="12">
        <v>91.9</v>
      </c>
      <c r="G16" s="114">
        <v>25040228</v>
      </c>
    </row>
    <row r="17" ht="16.5" spans="1:7">
      <c r="A17" s="39" t="s">
        <v>1767</v>
      </c>
      <c r="B17" s="9">
        <v>820.2</v>
      </c>
      <c r="C17" s="10">
        <v>189.6</v>
      </c>
      <c r="D17" s="11">
        <v>5</v>
      </c>
      <c r="E17" s="12">
        <v>81</v>
      </c>
      <c r="F17" s="12">
        <v>95.7</v>
      </c>
      <c r="G17" s="34">
        <v>25050208</v>
      </c>
    </row>
    <row r="18" ht="16.5" spans="1:7">
      <c r="A18" s="39" t="s">
        <v>1768</v>
      </c>
      <c r="B18" s="9">
        <v>853.8</v>
      </c>
      <c r="C18" s="10">
        <v>187.2</v>
      </c>
      <c r="D18" s="11">
        <v>5.15</v>
      </c>
      <c r="E18" s="12">
        <v>69.1</v>
      </c>
      <c r="F18" s="12">
        <v>88.2</v>
      </c>
      <c r="G18" s="34">
        <v>25070030</v>
      </c>
    </row>
    <row r="19" ht="16.5" spans="1:7">
      <c r="A19" s="39" t="s">
        <v>1769</v>
      </c>
      <c r="B19" s="9">
        <v>487.8</v>
      </c>
      <c r="C19" s="10">
        <v>186.9</v>
      </c>
      <c r="D19" s="11">
        <v>5.35</v>
      </c>
      <c r="E19" s="12">
        <v>74.2</v>
      </c>
      <c r="F19" s="12">
        <v>91.7</v>
      </c>
      <c r="G19" s="34">
        <v>25050143</v>
      </c>
    </row>
    <row r="20" ht="16.5" spans="1:7">
      <c r="A20" s="68" t="s">
        <v>1770</v>
      </c>
      <c r="B20" s="56">
        <v>822.4</v>
      </c>
      <c r="C20" s="12">
        <v>198.5</v>
      </c>
      <c r="D20" s="57">
        <v>4.52</v>
      </c>
      <c r="E20" s="12">
        <v>89.8</v>
      </c>
      <c r="F20" s="12">
        <v>98.4</v>
      </c>
      <c r="G20" s="34">
        <v>25050165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20"/>
  </dataValidations>
  <pageMargins left="0.75" right="0.75" top="1" bottom="1" header="0.5" footer="0.5"/>
  <pageSetup paperSize="9" orientation="portrait"/>
  <headerFooter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725</v>
      </c>
      <c r="B1" s="2">
        <f>SUM(B3:B30)</f>
        <v>9983.8</v>
      </c>
      <c r="C1" s="3" cm="1">
        <f t="array" ref="C1">SUMPRODUCT(C3:C30*B3:B30)/B1</f>
        <v>216.166377531601</v>
      </c>
      <c r="D1" s="4" cm="1">
        <f t="array" ref="D1">SUMPRODUCT(B3:B30*D3:D30)/B1</f>
        <v>4.90290751016647</v>
      </c>
      <c r="E1" s="3" cm="1">
        <f t="array" ref="E1">SUMPRODUCT(B3:B30*E3:E30)/B1</f>
        <v>82.4450429696108</v>
      </c>
      <c r="F1" s="3" cm="1">
        <f t="array" ref="F1">SUMPRODUCT(B3:B30*F3:F30)/B1</f>
        <v>95.3410925699633</v>
      </c>
      <c r="G1" s="3" cm="1">
        <f t="array" ref="G1">SUMPRODUCT(B3:B30*G3:G30)/B1</f>
        <v>11.3598421442737</v>
      </c>
    </row>
    <row r="2" ht="16.5" spans="1:8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1771</v>
      </c>
      <c r="B3" s="9">
        <v>807.6</v>
      </c>
      <c r="C3" s="10">
        <v>211</v>
      </c>
      <c r="D3" s="11">
        <v>4.86</v>
      </c>
      <c r="E3" s="12">
        <v>81.9</v>
      </c>
      <c r="F3" s="12">
        <v>94.5</v>
      </c>
      <c r="G3" s="11">
        <v>11</v>
      </c>
      <c r="H3" s="34">
        <v>25070130</v>
      </c>
    </row>
    <row r="4" ht="16.5" spans="1:8">
      <c r="A4" s="39" t="s">
        <v>1772</v>
      </c>
      <c r="B4" s="9">
        <v>639.2</v>
      </c>
      <c r="C4" s="10">
        <v>220.5</v>
      </c>
      <c r="D4" s="11">
        <v>5.16</v>
      </c>
      <c r="E4" s="12">
        <v>77.4</v>
      </c>
      <c r="F4" s="12">
        <v>92.4</v>
      </c>
      <c r="G4" s="11">
        <v>11.18</v>
      </c>
      <c r="H4" s="34">
        <v>25070069</v>
      </c>
    </row>
    <row r="5" ht="16.5" spans="1:8">
      <c r="A5" s="39" t="s">
        <v>1773</v>
      </c>
      <c r="B5" s="9">
        <v>575.4</v>
      </c>
      <c r="C5" s="10">
        <v>182.9</v>
      </c>
      <c r="D5" s="11">
        <v>3.99</v>
      </c>
      <c r="E5" s="12">
        <v>78.4</v>
      </c>
      <c r="F5" s="12">
        <v>93.1</v>
      </c>
      <c r="G5" s="11">
        <v>11.63</v>
      </c>
      <c r="H5" s="34">
        <v>25070250</v>
      </c>
    </row>
    <row r="6" ht="16.5" spans="1:8">
      <c r="A6" s="39" t="s">
        <v>1774</v>
      </c>
      <c r="B6" s="9">
        <v>614.2</v>
      </c>
      <c r="C6" s="10">
        <v>217.6</v>
      </c>
      <c r="D6" s="11">
        <v>5.16</v>
      </c>
      <c r="E6" s="12">
        <v>81.2</v>
      </c>
      <c r="F6" s="12">
        <v>94.9</v>
      </c>
      <c r="G6" s="11">
        <v>11.58</v>
      </c>
      <c r="H6" s="34">
        <v>25070239</v>
      </c>
    </row>
    <row r="7" ht="16.5" spans="1:8">
      <c r="A7" s="39" t="s">
        <v>1775</v>
      </c>
      <c r="B7" s="9">
        <v>479.4</v>
      </c>
      <c r="C7" s="10">
        <v>186</v>
      </c>
      <c r="D7" s="11">
        <v>5.11</v>
      </c>
      <c r="E7" s="12">
        <v>79.2</v>
      </c>
      <c r="F7" s="12">
        <v>94.6</v>
      </c>
      <c r="G7" s="11">
        <v>11.63</v>
      </c>
      <c r="H7" s="34">
        <v>25070241</v>
      </c>
    </row>
    <row r="8" ht="16.5" spans="1:8">
      <c r="A8" s="39" t="s">
        <v>1776</v>
      </c>
      <c r="B8" s="9">
        <v>470</v>
      </c>
      <c r="C8" s="10">
        <v>226.4</v>
      </c>
      <c r="D8" s="11">
        <v>4.32</v>
      </c>
      <c r="E8" s="12">
        <v>85.9</v>
      </c>
      <c r="F8" s="12">
        <v>97.3</v>
      </c>
      <c r="G8" s="11">
        <v>11.14</v>
      </c>
      <c r="H8" s="34">
        <v>25070223</v>
      </c>
    </row>
    <row r="9" ht="16.5" spans="1:8">
      <c r="A9" s="39" t="s">
        <v>1777</v>
      </c>
      <c r="B9" s="9">
        <v>331.8</v>
      </c>
      <c r="C9" s="10">
        <v>218.7</v>
      </c>
      <c r="D9" s="11">
        <v>4.34</v>
      </c>
      <c r="E9" s="12">
        <v>85.7</v>
      </c>
      <c r="F9" s="12">
        <v>97</v>
      </c>
      <c r="G9" s="11">
        <v>11.38</v>
      </c>
      <c r="H9" s="34">
        <v>25070224</v>
      </c>
    </row>
    <row r="10" ht="16.5" spans="1:8">
      <c r="A10" s="39" t="s">
        <v>1778</v>
      </c>
      <c r="B10" s="9">
        <v>265.2</v>
      </c>
      <c r="C10" s="10">
        <v>215</v>
      </c>
      <c r="D10" s="11">
        <v>4.49</v>
      </c>
      <c r="E10" s="12">
        <v>84.7</v>
      </c>
      <c r="F10" s="12">
        <v>96.6</v>
      </c>
      <c r="G10" s="11">
        <v>11.48</v>
      </c>
      <c r="H10" s="34">
        <v>25070225</v>
      </c>
    </row>
    <row r="11" ht="16.5" spans="1:8">
      <c r="A11" s="68" t="s">
        <v>1779</v>
      </c>
      <c r="B11" s="56">
        <v>805.8</v>
      </c>
      <c r="C11" s="12">
        <v>187.8</v>
      </c>
      <c r="D11" s="57">
        <v>4.89</v>
      </c>
      <c r="E11" s="12">
        <v>80.2</v>
      </c>
      <c r="F11" s="12">
        <v>94.3</v>
      </c>
      <c r="G11" s="57">
        <v>11.26</v>
      </c>
      <c r="H11" s="34">
        <v>25050235</v>
      </c>
    </row>
    <row r="12" ht="16.5" spans="1:8">
      <c r="A12" s="39" t="s">
        <v>1780</v>
      </c>
      <c r="B12" s="9">
        <v>403</v>
      </c>
      <c r="C12" s="10">
        <v>246.8</v>
      </c>
      <c r="D12" s="11">
        <v>4.52</v>
      </c>
      <c r="E12" s="12">
        <v>90.6</v>
      </c>
      <c r="F12" s="12">
        <v>98.3</v>
      </c>
      <c r="G12" s="11">
        <v>11.94</v>
      </c>
      <c r="H12" s="9">
        <v>25040260</v>
      </c>
    </row>
    <row r="13" ht="16.5" spans="1:8">
      <c r="A13" s="39" t="s">
        <v>1781</v>
      </c>
      <c r="B13" s="9">
        <v>445.8</v>
      </c>
      <c r="C13" s="10">
        <v>210</v>
      </c>
      <c r="D13" s="11">
        <v>4.97</v>
      </c>
      <c r="E13" s="12">
        <v>81.5</v>
      </c>
      <c r="F13" s="12">
        <v>95.9</v>
      </c>
      <c r="G13" s="11">
        <v>11.66</v>
      </c>
      <c r="H13" s="34">
        <v>25070226</v>
      </c>
    </row>
    <row r="14" ht="16.5" spans="1:8">
      <c r="A14" s="39" t="s">
        <v>1782</v>
      </c>
      <c r="B14" s="9">
        <v>649</v>
      </c>
      <c r="C14" s="10">
        <v>233.8</v>
      </c>
      <c r="D14" s="11">
        <v>4.86</v>
      </c>
      <c r="E14" s="12">
        <v>83.9</v>
      </c>
      <c r="F14" s="12">
        <v>96.3</v>
      </c>
      <c r="G14" s="11">
        <v>11.45</v>
      </c>
      <c r="H14" s="34">
        <v>25070156</v>
      </c>
    </row>
    <row r="15" ht="16.5" spans="1:8">
      <c r="A15" s="39" t="s">
        <v>1783</v>
      </c>
      <c r="B15" s="9">
        <v>828.2</v>
      </c>
      <c r="C15" s="10">
        <v>216.1</v>
      </c>
      <c r="D15" s="11">
        <v>5.46</v>
      </c>
      <c r="E15" s="12">
        <v>78.7</v>
      </c>
      <c r="F15" s="12">
        <v>94.2</v>
      </c>
      <c r="G15" s="11">
        <v>11.38</v>
      </c>
      <c r="H15" s="34">
        <v>25070157</v>
      </c>
    </row>
    <row r="16" ht="16.5" spans="1:8">
      <c r="A16" s="39" t="s">
        <v>1784</v>
      </c>
      <c r="B16" s="9">
        <v>497.2</v>
      </c>
      <c r="C16" s="10">
        <v>233</v>
      </c>
      <c r="D16" s="11">
        <v>5.6</v>
      </c>
      <c r="E16" s="12">
        <v>78.7</v>
      </c>
      <c r="F16" s="12">
        <v>94</v>
      </c>
      <c r="G16" s="11">
        <v>10.87</v>
      </c>
      <c r="H16" s="34">
        <v>25070143</v>
      </c>
    </row>
    <row r="17" ht="16.5" spans="1:8">
      <c r="A17" s="39" t="s">
        <v>1785</v>
      </c>
      <c r="B17" s="9">
        <v>472.6</v>
      </c>
      <c r="C17" s="10">
        <v>210</v>
      </c>
      <c r="D17" s="11">
        <v>5.66</v>
      </c>
      <c r="E17" s="12">
        <v>77</v>
      </c>
      <c r="F17" s="12">
        <v>93.7</v>
      </c>
      <c r="G17" s="11">
        <v>11.21</v>
      </c>
      <c r="H17" s="34">
        <v>25070144</v>
      </c>
    </row>
    <row r="18" ht="16.5" spans="1:8">
      <c r="A18" s="39" t="s">
        <v>1786</v>
      </c>
      <c r="B18" s="9">
        <v>819</v>
      </c>
      <c r="C18" s="10">
        <v>235.1</v>
      </c>
      <c r="D18" s="11">
        <v>4.52</v>
      </c>
      <c r="E18" s="12">
        <v>88.5</v>
      </c>
      <c r="F18" s="12">
        <v>97.5</v>
      </c>
      <c r="G18" s="11">
        <v>11.46</v>
      </c>
      <c r="H18" s="34">
        <v>25070129</v>
      </c>
    </row>
    <row r="19" ht="16.5" spans="1:8">
      <c r="A19" s="39" t="s">
        <v>1787</v>
      </c>
      <c r="B19" s="9">
        <v>361.6</v>
      </c>
      <c r="C19" s="10">
        <v>246.8</v>
      </c>
      <c r="D19" s="11">
        <v>4.63</v>
      </c>
      <c r="E19" s="12">
        <v>92.8</v>
      </c>
      <c r="F19" s="12">
        <v>99.1</v>
      </c>
      <c r="G19" s="11">
        <v>11.44</v>
      </c>
      <c r="H19" s="9">
        <v>25040090</v>
      </c>
    </row>
    <row r="20" ht="16.5" spans="1:8">
      <c r="A20" s="39" t="s">
        <v>1788</v>
      </c>
      <c r="B20" s="9">
        <v>518.8</v>
      </c>
      <c r="C20" s="10">
        <v>213.5</v>
      </c>
      <c r="D20" s="11">
        <v>5.13</v>
      </c>
      <c r="E20" s="12">
        <v>86</v>
      </c>
      <c r="F20" s="12">
        <v>96.7</v>
      </c>
      <c r="G20" s="11">
        <v>11.15</v>
      </c>
      <c r="H20" s="9">
        <v>25020101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0"/>
  </dataValidations>
  <pageMargins left="0.75" right="0.75" top="1" bottom="1" header="0.5" footer="0.5"/>
  <pageSetup paperSize="9" orientation="portrait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E26" sqref="E26"/>
    </sheetView>
  </sheetViews>
  <sheetFormatPr defaultColWidth="9" defaultRowHeight="13.5" outlineLevelRow="5" outlineLevelCol="6"/>
  <cols>
    <col min="1" max="1" width="15.625" customWidth="1"/>
  </cols>
  <sheetData>
    <row r="1" ht="16.5" spans="1:7">
      <c r="A1" s="116">
        <v>801</v>
      </c>
      <c r="B1" s="2">
        <f>SUM(B3:B30)</f>
        <v>5037</v>
      </c>
      <c r="C1" s="3" cm="1">
        <f t="array" ref="C1">SUMPRODUCT(C3:C30*B3:B30)/B1</f>
        <v>257.050454635696</v>
      </c>
      <c r="D1" s="4" cm="1">
        <f t="array" ref="D1">SUMPRODUCT(B3:B30*D3:D30)/B1</f>
        <v>4.92855945999603</v>
      </c>
      <c r="E1" s="3" cm="1">
        <f t="array" ref="E1">SUMPRODUCT(B3:B30*E3:E30)/B1</f>
        <v>90.8529203891205</v>
      </c>
      <c r="F1" s="3" cm="1">
        <f t="array" ref="F1">SUMPRODUCT(B3:B30*F3:F30)/B1</f>
        <v>98.2137065713719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80">
        <v>717</v>
      </c>
      <c r="B3" s="80">
        <v>2800</v>
      </c>
      <c r="C3" s="1">
        <v>246.4</v>
      </c>
      <c r="D3" s="1">
        <v>4.84</v>
      </c>
      <c r="E3" s="2">
        <v>90.8</v>
      </c>
      <c r="F3" s="2">
        <v>98.2</v>
      </c>
    </row>
    <row r="4" ht="16.5" spans="1:7">
      <c r="A4" s="54" t="s">
        <v>1789</v>
      </c>
      <c r="B4" s="9">
        <v>713.2</v>
      </c>
      <c r="C4" s="10">
        <v>274.3</v>
      </c>
      <c r="D4" s="11">
        <v>4.94</v>
      </c>
      <c r="E4" s="12">
        <v>91.5</v>
      </c>
      <c r="F4" s="12">
        <v>98.6</v>
      </c>
      <c r="G4" s="14">
        <v>25060292</v>
      </c>
    </row>
    <row r="5" ht="16.5" spans="1:7">
      <c r="A5" s="54" t="s">
        <v>1790</v>
      </c>
      <c r="B5" s="9">
        <v>720.8</v>
      </c>
      <c r="C5" s="10">
        <v>268.6</v>
      </c>
      <c r="D5" s="11">
        <v>4.97</v>
      </c>
      <c r="E5" s="12">
        <v>90.7</v>
      </c>
      <c r="F5" s="12">
        <v>97.9</v>
      </c>
      <c r="G5" s="14">
        <v>25060293</v>
      </c>
    </row>
    <row r="6" ht="16.5" spans="1:7">
      <c r="A6" s="54" t="s">
        <v>1791</v>
      </c>
      <c r="B6" s="9">
        <v>803</v>
      </c>
      <c r="C6" s="10">
        <v>268.5</v>
      </c>
      <c r="D6" s="11">
        <v>5.19</v>
      </c>
      <c r="E6" s="12">
        <v>90.6</v>
      </c>
      <c r="F6" s="12">
        <v>98.2</v>
      </c>
      <c r="G6" s="14">
        <v>25060294</v>
      </c>
    </row>
  </sheetData>
  <conditionalFormatting sqref="C3">
    <cfRule type="expression" dxfId="2" priority="8">
      <formula>AND(MOD(ROW(),2)=1,$A3&lt;&gt;"")</formula>
    </cfRule>
    <cfRule type="expression" dxfId="3" priority="6">
      <formula>$I3&lt;$AT3</formula>
    </cfRule>
  </conditionalFormatting>
  <conditionalFormatting sqref="D3">
    <cfRule type="expression" dxfId="2" priority="7">
      <formula>AND(MOD(ROW(),2)=1,$A3&lt;&gt;"")</formula>
    </cfRule>
    <cfRule type="expression" dxfId="4" priority="5">
      <formula>$U3&lt;$AU3</formula>
    </cfRule>
  </conditionalFormatting>
  <conditionalFormatting sqref="E3:F3">
    <cfRule type="expression" dxfId="2" priority="3">
      <formula>AND(MOD(ROW(),2)=1,$A3&lt;&gt;"")</formula>
    </cfRule>
  </conditionalFormatting>
  <conditionalFormatting sqref="E3">
    <cfRule type="expression" dxfId="4" priority="2">
      <formula>$K3&lt;$AV3</formula>
    </cfRule>
  </conditionalFormatting>
  <conditionalFormatting sqref="F3">
    <cfRule type="expression" dxfId="1" priority="4">
      <formula>F3:F7&lt;AQ3:AQ752</formula>
    </cfRule>
    <cfRule type="expression" dxfId="4" priority="1">
      <formula>$L3&lt;$AW3</formula>
    </cfRule>
  </conditionalFormatting>
  <conditionalFormatting sqref="A1:A2">
    <cfRule type="duplicateValues" dxfId="0" priority="9"/>
  </conditionalFormatting>
  <dataValidations count="1">
    <dataValidation allowBlank="1" showInputMessage="1" showErrorMessage="1" sqref="C3 B4:C6"/>
  </dataValidations>
  <pageMargins left="0.75" right="0.75" top="1" bottom="1" header="0.5" footer="0.5"/>
  <pageSetup paperSize="9" orientation="portrait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I1" sqref="I$1:K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802</v>
      </c>
      <c r="B1" s="2">
        <f>SUM(B3:B30)</f>
        <v>10068</v>
      </c>
      <c r="C1" s="3" cm="1">
        <f t="array" ref="C1">SUMPRODUCT(C3:C30*B3:B30)/B1</f>
        <v>216.102647993643</v>
      </c>
      <c r="D1" s="4" cm="1">
        <f t="array" ref="D1">SUMPRODUCT(B3:B30*D3:D30)/B1</f>
        <v>4.97392729439809</v>
      </c>
      <c r="E1" s="3" cm="1">
        <f t="array" ref="E1">SUMPRODUCT(B3:B30*E3:E30)/B1</f>
        <v>81.5117620182758</v>
      </c>
      <c r="F1" s="3" cm="1">
        <f t="array" ref="F1">SUMPRODUCT(B3:B30*F3:F30)/B1</f>
        <v>94.7964759634486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0" t="s">
        <v>893</v>
      </c>
      <c r="B3" s="24">
        <v>501.4</v>
      </c>
      <c r="C3" s="28">
        <v>203.3</v>
      </c>
      <c r="D3" s="25">
        <v>5.05</v>
      </c>
      <c r="E3" s="29">
        <v>75.8</v>
      </c>
      <c r="F3" s="29">
        <v>92.3</v>
      </c>
      <c r="G3" s="24">
        <v>25020132</v>
      </c>
    </row>
    <row r="4" ht="16.5" spans="1:7">
      <c r="A4" s="30" t="s">
        <v>1792</v>
      </c>
      <c r="B4" s="24">
        <v>755.8</v>
      </c>
      <c r="C4" s="28">
        <v>213</v>
      </c>
      <c r="D4" s="25">
        <v>4.8</v>
      </c>
      <c r="E4" s="29">
        <v>87.5</v>
      </c>
      <c r="F4" s="29">
        <v>98.1</v>
      </c>
      <c r="G4" s="24">
        <v>25040059</v>
      </c>
    </row>
    <row r="5" ht="16.5" spans="1:7">
      <c r="A5" s="30" t="s">
        <v>1793</v>
      </c>
      <c r="B5" s="24">
        <v>497.6</v>
      </c>
      <c r="C5" s="28">
        <v>218.7</v>
      </c>
      <c r="D5" s="25">
        <v>4.43</v>
      </c>
      <c r="E5" s="29">
        <v>88</v>
      </c>
      <c r="F5" s="29">
        <v>98</v>
      </c>
      <c r="G5" s="24">
        <v>25040167</v>
      </c>
    </row>
    <row r="6" ht="16.5" spans="1:7">
      <c r="A6" s="30" t="s">
        <v>1794</v>
      </c>
      <c r="B6" s="24">
        <v>504.4</v>
      </c>
      <c r="C6" s="28">
        <v>208</v>
      </c>
      <c r="D6" s="25">
        <v>5.08</v>
      </c>
      <c r="E6" s="29">
        <v>83.2</v>
      </c>
      <c r="F6" s="29">
        <v>95.5</v>
      </c>
      <c r="G6" s="105">
        <v>25040321</v>
      </c>
    </row>
    <row r="7" ht="16.5" spans="1:7">
      <c r="A7" s="30" t="s">
        <v>1795</v>
      </c>
      <c r="B7" s="24">
        <v>695</v>
      </c>
      <c r="C7" s="28">
        <v>227.4</v>
      </c>
      <c r="D7" s="25">
        <v>4.55</v>
      </c>
      <c r="E7" s="29">
        <v>90.3</v>
      </c>
      <c r="F7" s="29">
        <v>98.6</v>
      </c>
      <c r="G7" s="24">
        <v>25040335</v>
      </c>
    </row>
    <row r="8" ht="16.5" spans="1:7">
      <c r="A8" s="30" t="s">
        <v>1796</v>
      </c>
      <c r="B8" s="24">
        <v>256</v>
      </c>
      <c r="C8" s="28">
        <v>220.6</v>
      </c>
      <c r="D8" s="25">
        <v>5.02</v>
      </c>
      <c r="E8" s="29">
        <v>89.6</v>
      </c>
      <c r="F8" s="29">
        <v>98</v>
      </c>
      <c r="G8" s="24">
        <v>25040498</v>
      </c>
    </row>
    <row r="9" ht="16.5" spans="1:7">
      <c r="A9" s="30" t="s">
        <v>1797</v>
      </c>
      <c r="B9" s="24">
        <v>510.2</v>
      </c>
      <c r="C9" s="28">
        <v>225</v>
      </c>
      <c r="D9" s="25">
        <v>4.91</v>
      </c>
      <c r="E9" s="29">
        <v>89.5</v>
      </c>
      <c r="F9" s="29">
        <v>97.9</v>
      </c>
      <c r="G9" s="24">
        <v>25040496</v>
      </c>
    </row>
    <row r="10" ht="16.5" spans="1:7">
      <c r="A10" s="30" t="s">
        <v>1798</v>
      </c>
      <c r="B10" s="24">
        <v>446</v>
      </c>
      <c r="C10" s="28">
        <v>204.2</v>
      </c>
      <c r="D10" s="25">
        <v>4.91</v>
      </c>
      <c r="E10" s="29">
        <v>86.4</v>
      </c>
      <c r="F10" s="29">
        <v>97.2</v>
      </c>
      <c r="G10" s="24">
        <v>25050041</v>
      </c>
    </row>
    <row r="11" ht="16.5" spans="1:7">
      <c r="A11" s="30" t="s">
        <v>1799</v>
      </c>
      <c r="B11" s="24">
        <v>741.2</v>
      </c>
      <c r="C11" s="28">
        <v>218.8</v>
      </c>
      <c r="D11" s="25">
        <v>5.3</v>
      </c>
      <c r="E11" s="29">
        <v>73.5</v>
      </c>
      <c r="F11" s="29">
        <v>90.8</v>
      </c>
      <c r="G11" s="24">
        <v>25070019</v>
      </c>
    </row>
    <row r="12" ht="16.5" spans="1:7">
      <c r="A12" s="30" t="s">
        <v>1800</v>
      </c>
      <c r="B12" s="24">
        <v>635.4</v>
      </c>
      <c r="C12" s="28">
        <v>212</v>
      </c>
      <c r="D12" s="25">
        <v>5.49</v>
      </c>
      <c r="E12" s="29">
        <v>69.8</v>
      </c>
      <c r="F12" s="29">
        <v>89</v>
      </c>
      <c r="G12" s="24">
        <v>25070020</v>
      </c>
    </row>
    <row r="13" ht="16.5" spans="1:7">
      <c r="A13" s="30" t="s">
        <v>1801</v>
      </c>
      <c r="B13" s="24">
        <v>496.8</v>
      </c>
      <c r="C13" s="28">
        <v>236.5</v>
      </c>
      <c r="D13" s="25">
        <v>4.43</v>
      </c>
      <c r="E13" s="29">
        <v>83</v>
      </c>
      <c r="F13" s="29">
        <v>95.3</v>
      </c>
      <c r="G13" s="24">
        <v>25070067</v>
      </c>
    </row>
    <row r="14" ht="16.5" spans="1:7">
      <c r="A14" s="30" t="s">
        <v>1802</v>
      </c>
      <c r="B14" s="24">
        <v>648</v>
      </c>
      <c r="C14" s="28">
        <v>217.7</v>
      </c>
      <c r="D14" s="25">
        <v>5.22</v>
      </c>
      <c r="E14" s="29">
        <v>77.8</v>
      </c>
      <c r="F14" s="29">
        <v>92.7</v>
      </c>
      <c r="G14" s="24">
        <v>25070068</v>
      </c>
    </row>
    <row r="15" ht="16.5" spans="1:7">
      <c r="A15" s="30" t="s">
        <v>1803</v>
      </c>
      <c r="B15" s="24">
        <v>487.4</v>
      </c>
      <c r="C15" s="28">
        <v>231.2</v>
      </c>
      <c r="D15" s="25">
        <v>5.57</v>
      </c>
      <c r="E15" s="29">
        <v>74.8</v>
      </c>
      <c r="F15" s="29">
        <v>92</v>
      </c>
      <c r="G15" s="24">
        <v>25070211</v>
      </c>
    </row>
    <row r="16" ht="16.5" spans="1:7">
      <c r="A16" s="30" t="s">
        <v>1804</v>
      </c>
      <c r="B16" s="24">
        <v>791</v>
      </c>
      <c r="C16" s="28">
        <v>199.2</v>
      </c>
      <c r="D16" s="25">
        <v>4.52</v>
      </c>
      <c r="E16" s="29">
        <v>80.4</v>
      </c>
      <c r="F16" s="29">
        <v>94.6</v>
      </c>
      <c r="G16" s="24">
        <v>25070275</v>
      </c>
    </row>
    <row r="17" ht="16.5" spans="1:7">
      <c r="A17" s="30" t="s">
        <v>1805</v>
      </c>
      <c r="B17" s="24">
        <v>810.2</v>
      </c>
      <c r="C17" s="28">
        <v>211.2</v>
      </c>
      <c r="D17" s="25">
        <v>4.49</v>
      </c>
      <c r="E17" s="29">
        <v>82.5</v>
      </c>
      <c r="F17" s="29">
        <v>95.5</v>
      </c>
      <c r="G17" s="24">
        <v>25070289</v>
      </c>
    </row>
    <row r="18" ht="16.5" spans="1:7">
      <c r="A18" s="30" t="s">
        <v>1806</v>
      </c>
      <c r="B18" s="24">
        <v>759.4</v>
      </c>
      <c r="C18" s="28">
        <v>218.1</v>
      </c>
      <c r="D18" s="25">
        <v>5.57</v>
      </c>
      <c r="E18" s="29">
        <v>74.9</v>
      </c>
      <c r="F18" s="29">
        <v>91.9</v>
      </c>
      <c r="G18" s="24">
        <v>25070317</v>
      </c>
    </row>
    <row r="19" ht="16.5" spans="1:7">
      <c r="A19" s="23" t="s">
        <v>1807</v>
      </c>
      <c r="B19" s="14">
        <v>324.8</v>
      </c>
      <c r="C19" s="15">
        <v>219</v>
      </c>
      <c r="D19" s="16">
        <v>5.22</v>
      </c>
      <c r="E19" s="17">
        <v>89.9</v>
      </c>
      <c r="F19" s="17">
        <v>98.6</v>
      </c>
      <c r="G19" s="14">
        <v>25040536</v>
      </c>
    </row>
    <row r="20" ht="16.5" spans="1:7">
      <c r="A20" s="23" t="s">
        <v>1808</v>
      </c>
      <c r="B20" s="14">
        <v>207.4</v>
      </c>
      <c r="C20" s="15">
        <v>217.5</v>
      </c>
      <c r="D20" s="16">
        <v>5.57</v>
      </c>
      <c r="E20" s="17">
        <v>84</v>
      </c>
      <c r="F20" s="17">
        <v>96.5</v>
      </c>
      <c r="G20" s="14">
        <v>25050205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B4 B6:B7 B10:B20 C3:C20"/>
  </dataValidations>
  <pageMargins left="0.75" right="0.75" top="1" bottom="1" header="0.5" footer="0.5"/>
  <pageSetup paperSize="9" orientation="portrait"/>
  <headerFooter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I1" sqref="I$1:L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803</v>
      </c>
      <c r="B1" s="2">
        <f>SUM(B3:B30)</f>
        <v>10109.4</v>
      </c>
      <c r="C1" s="3" cm="1">
        <f t="array" ref="C1">SUMPRODUCT(C3:C30*B3:B30)/B1</f>
        <v>236.583373889647</v>
      </c>
      <c r="D1" s="4" cm="1">
        <f t="array" ref="D1">SUMPRODUCT(B3:B30*D3:D30)/B1</f>
        <v>4.97397847547827</v>
      </c>
      <c r="E1" s="3" cm="1">
        <f t="array" ref="E1">SUMPRODUCT(B3:B30*E3:E30)/B1</f>
        <v>84.5112924604823</v>
      </c>
      <c r="F1" s="3" cm="1">
        <f t="array" ref="F1">SUMPRODUCT(B3:B30*F3:F30)/B1</f>
        <v>96.1148614161078</v>
      </c>
    </row>
    <row r="2" ht="16.5" spans="1:7">
      <c r="A2" s="6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0" t="s">
        <v>333</v>
      </c>
      <c r="B3" s="24">
        <v>182.8</v>
      </c>
      <c r="C3" s="29">
        <v>239.8</v>
      </c>
      <c r="D3" s="25">
        <v>4.89</v>
      </c>
      <c r="E3" s="29">
        <v>90.4</v>
      </c>
      <c r="F3" s="29">
        <v>98.6</v>
      </c>
      <c r="G3" s="24">
        <v>25010548</v>
      </c>
    </row>
    <row r="4" ht="16.5" spans="1:7">
      <c r="A4" s="30" t="s">
        <v>1809</v>
      </c>
      <c r="B4" s="24">
        <v>507.2</v>
      </c>
      <c r="C4" s="28">
        <v>249.9</v>
      </c>
      <c r="D4" s="25">
        <v>5.24</v>
      </c>
      <c r="E4" s="29">
        <v>85</v>
      </c>
      <c r="F4" s="29">
        <v>96</v>
      </c>
      <c r="G4" s="24">
        <v>25020272</v>
      </c>
    </row>
    <row r="5" ht="16.5" spans="1:7">
      <c r="A5" s="30" t="s">
        <v>852</v>
      </c>
      <c r="B5" s="24">
        <v>493.6</v>
      </c>
      <c r="C5" s="28">
        <v>245.4</v>
      </c>
      <c r="D5" s="25">
        <v>5.24</v>
      </c>
      <c r="E5" s="29">
        <v>84.9</v>
      </c>
      <c r="F5" s="29">
        <v>96.1</v>
      </c>
      <c r="G5" s="24">
        <v>25020330</v>
      </c>
    </row>
    <row r="6" ht="16.5" spans="1:7">
      <c r="A6" s="30" t="s">
        <v>839</v>
      </c>
      <c r="B6" s="24">
        <v>503.8</v>
      </c>
      <c r="C6" s="28">
        <v>239.3</v>
      </c>
      <c r="D6" s="25">
        <v>5.02</v>
      </c>
      <c r="E6" s="29">
        <v>89.8</v>
      </c>
      <c r="F6" s="29">
        <v>98.1</v>
      </c>
      <c r="G6" s="24">
        <v>25030064</v>
      </c>
    </row>
    <row r="7" ht="16.5" spans="1:7">
      <c r="A7" s="30" t="s">
        <v>907</v>
      </c>
      <c r="B7" s="24">
        <v>498.6</v>
      </c>
      <c r="C7" s="28">
        <v>232.2</v>
      </c>
      <c r="D7" s="25">
        <v>4.61</v>
      </c>
      <c r="E7" s="29">
        <v>91</v>
      </c>
      <c r="F7" s="29">
        <v>98.9</v>
      </c>
      <c r="G7" s="24">
        <v>25040039</v>
      </c>
    </row>
    <row r="8" ht="16.5" spans="1:7">
      <c r="A8" s="30" t="s">
        <v>1810</v>
      </c>
      <c r="B8" s="24">
        <v>503.2</v>
      </c>
      <c r="C8" s="28">
        <v>200.8</v>
      </c>
      <c r="D8" s="25">
        <v>5.41</v>
      </c>
      <c r="E8" s="29">
        <v>75.3</v>
      </c>
      <c r="F8" s="29">
        <v>92.9</v>
      </c>
      <c r="G8" s="24">
        <v>25040226</v>
      </c>
    </row>
    <row r="9" ht="16.5" spans="1:7">
      <c r="A9" s="30" t="s">
        <v>1811</v>
      </c>
      <c r="B9" s="24">
        <v>487.2</v>
      </c>
      <c r="C9" s="28">
        <v>236.6</v>
      </c>
      <c r="D9" s="25">
        <v>4.69</v>
      </c>
      <c r="E9" s="29">
        <v>89.6</v>
      </c>
      <c r="F9" s="29">
        <v>98.4</v>
      </c>
      <c r="G9" s="24">
        <v>25040239</v>
      </c>
    </row>
    <row r="10" ht="16.5" spans="1:7">
      <c r="A10" s="30" t="s">
        <v>1812</v>
      </c>
      <c r="B10" s="24">
        <v>504.2</v>
      </c>
      <c r="C10" s="28">
        <v>244.7</v>
      </c>
      <c r="D10" s="25">
        <v>4.72</v>
      </c>
      <c r="E10" s="29">
        <v>89.9</v>
      </c>
      <c r="F10" s="29">
        <v>98.1</v>
      </c>
      <c r="G10" s="24">
        <v>25040240</v>
      </c>
    </row>
    <row r="11" ht="16.5" spans="1:7">
      <c r="A11" s="30" t="s">
        <v>1813</v>
      </c>
      <c r="B11" s="24">
        <v>627.2</v>
      </c>
      <c r="C11" s="28">
        <v>239.3</v>
      </c>
      <c r="D11" s="25">
        <v>4.72</v>
      </c>
      <c r="E11" s="29">
        <v>89.4</v>
      </c>
      <c r="F11" s="29">
        <v>98.1</v>
      </c>
      <c r="G11" s="24">
        <v>25050137</v>
      </c>
    </row>
    <row r="12" ht="16.5" spans="1:7">
      <c r="A12" s="30" t="s">
        <v>1814</v>
      </c>
      <c r="B12" s="24">
        <v>700</v>
      </c>
      <c r="C12" s="28">
        <v>245.8</v>
      </c>
      <c r="D12" s="25">
        <v>5.33</v>
      </c>
      <c r="E12" s="29">
        <v>83.6</v>
      </c>
      <c r="F12" s="29">
        <v>95.8</v>
      </c>
      <c r="G12" s="24">
        <v>25060093</v>
      </c>
    </row>
    <row r="13" ht="16.5" spans="1:7">
      <c r="A13" s="30" t="s">
        <v>1815</v>
      </c>
      <c r="B13" s="24">
        <v>466.8</v>
      </c>
      <c r="C13" s="28">
        <v>246.1</v>
      </c>
      <c r="D13" s="25">
        <v>4.41</v>
      </c>
      <c r="E13" s="29">
        <v>90.9</v>
      </c>
      <c r="F13" s="29">
        <v>98.9</v>
      </c>
      <c r="G13" s="24">
        <v>25060172</v>
      </c>
    </row>
    <row r="14" ht="16.5" spans="1:7">
      <c r="A14" s="30" t="s">
        <v>1816</v>
      </c>
      <c r="B14" s="24">
        <v>486.6</v>
      </c>
      <c r="C14" s="28">
        <v>233.6</v>
      </c>
      <c r="D14" s="25">
        <v>5.13</v>
      </c>
      <c r="E14" s="29">
        <v>80.4</v>
      </c>
      <c r="F14" s="29">
        <v>94.3</v>
      </c>
      <c r="G14" s="24">
        <v>25070018</v>
      </c>
    </row>
    <row r="15" ht="16.5" spans="1:7">
      <c r="A15" s="30" t="s">
        <v>1817</v>
      </c>
      <c r="B15" s="24">
        <v>685</v>
      </c>
      <c r="C15" s="28">
        <v>241.7</v>
      </c>
      <c r="D15" s="25">
        <v>5</v>
      </c>
      <c r="E15" s="29">
        <v>84.5</v>
      </c>
      <c r="F15" s="29">
        <v>96</v>
      </c>
      <c r="G15" s="24">
        <v>25070027</v>
      </c>
    </row>
    <row r="16" ht="16.5" spans="1:7">
      <c r="A16" s="30" t="s">
        <v>1818</v>
      </c>
      <c r="B16" s="24">
        <v>776.4</v>
      </c>
      <c r="C16" s="28">
        <v>224.3</v>
      </c>
      <c r="D16" s="25">
        <v>5.81</v>
      </c>
      <c r="E16" s="29">
        <v>68.5</v>
      </c>
      <c r="F16" s="29">
        <v>89.4</v>
      </c>
      <c r="G16" s="24">
        <v>25070119</v>
      </c>
    </row>
    <row r="17" ht="16.5" spans="1:7">
      <c r="A17" s="30" t="s">
        <v>1819</v>
      </c>
      <c r="B17" s="24">
        <v>231.8</v>
      </c>
      <c r="C17" s="28">
        <v>243</v>
      </c>
      <c r="D17" s="25">
        <v>4.94</v>
      </c>
      <c r="E17" s="29">
        <v>83.3</v>
      </c>
      <c r="F17" s="29">
        <v>95.5</v>
      </c>
      <c r="G17" s="24">
        <v>25070210</v>
      </c>
    </row>
    <row r="18" ht="16.5" spans="1:7">
      <c r="A18" s="30" t="s">
        <v>1820</v>
      </c>
      <c r="B18" s="24">
        <v>801</v>
      </c>
      <c r="C18" s="28">
        <v>228.3</v>
      </c>
      <c r="D18" s="25">
        <v>4.91</v>
      </c>
      <c r="E18" s="29">
        <v>84.2</v>
      </c>
      <c r="F18" s="29">
        <v>96.4</v>
      </c>
      <c r="G18" s="24">
        <v>25070238</v>
      </c>
    </row>
    <row r="19" ht="16.5" spans="1:7">
      <c r="A19" s="30" t="s">
        <v>1821</v>
      </c>
      <c r="B19" s="24">
        <v>515.6</v>
      </c>
      <c r="C19" s="28">
        <v>241.4</v>
      </c>
      <c r="D19" s="25">
        <v>4.17</v>
      </c>
      <c r="E19" s="29">
        <v>85.6</v>
      </c>
      <c r="F19" s="29">
        <v>96.7</v>
      </c>
      <c r="G19" s="24">
        <v>25070273</v>
      </c>
    </row>
    <row r="20" ht="16.5" spans="1:7">
      <c r="A20" s="30" t="s">
        <v>1822</v>
      </c>
      <c r="B20" s="24">
        <v>172.6</v>
      </c>
      <c r="C20" s="28">
        <v>236.4</v>
      </c>
      <c r="D20" s="25">
        <v>4.91</v>
      </c>
      <c r="E20" s="29">
        <v>84.8</v>
      </c>
      <c r="F20" s="29">
        <v>96.1</v>
      </c>
      <c r="G20" s="24">
        <v>25070316</v>
      </c>
    </row>
    <row r="21" ht="16.5" spans="1:7">
      <c r="A21" s="23" t="s">
        <v>1823</v>
      </c>
      <c r="B21" s="14">
        <v>467.4</v>
      </c>
      <c r="C21" s="15">
        <v>251.2</v>
      </c>
      <c r="D21" s="16">
        <v>4.55</v>
      </c>
      <c r="E21" s="17">
        <v>88.2</v>
      </c>
      <c r="F21" s="17">
        <v>97.5</v>
      </c>
      <c r="G21" s="14">
        <v>25070209</v>
      </c>
    </row>
    <row r="22" ht="16.5" spans="1:7">
      <c r="A22" s="23" t="s">
        <v>1824</v>
      </c>
      <c r="B22" s="14">
        <v>498.4</v>
      </c>
      <c r="C22" s="15">
        <v>224.1</v>
      </c>
      <c r="D22" s="16">
        <v>5.11</v>
      </c>
      <c r="E22" s="17">
        <v>83</v>
      </c>
      <c r="F22" s="17">
        <v>95.2</v>
      </c>
      <c r="G22" s="14">
        <v>25070053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 B5:B15 B17:B22 C3:C22"/>
  </dataValidations>
  <pageMargins left="0.75" right="0.75" top="1" bottom="1" header="0.5" footer="0.5"/>
  <pageSetup paperSize="9" orientation="portrait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L19" sqref="L19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804</v>
      </c>
      <c r="B1" s="2">
        <f>SUM(B3:B30)</f>
        <v>10082</v>
      </c>
      <c r="C1" s="3" cm="1">
        <f t="array" ref="C1">SUMPRODUCT(C3:C30*B3:B30)/B1</f>
        <v>157.148948621305</v>
      </c>
      <c r="D1" s="4" cm="1">
        <f t="array" ref="D1">SUMPRODUCT(B3:B30*D3:D30)/B1</f>
        <v>3.89147173179925</v>
      </c>
      <c r="E1" s="3" cm="1">
        <f t="array" ref="E1">SUMPRODUCT(B3:B30*E3:E30)/B1</f>
        <v>79.5939575481055</v>
      </c>
      <c r="F1" s="3" cm="1">
        <f t="array" ref="F1">SUMPRODUCT(B3:B30*F3:F30)/B1</f>
        <v>95.1039079547709</v>
      </c>
    </row>
    <row r="2" ht="16.5" spans="1:7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1825</v>
      </c>
      <c r="B3" s="9">
        <v>656</v>
      </c>
      <c r="C3" s="10">
        <v>163.3</v>
      </c>
      <c r="D3" s="11">
        <v>4.38</v>
      </c>
      <c r="E3" s="12">
        <v>76.8</v>
      </c>
      <c r="F3" s="12">
        <v>93.5</v>
      </c>
      <c r="G3" s="9">
        <v>25070319</v>
      </c>
    </row>
    <row r="4" ht="16.5" spans="1:7">
      <c r="A4" s="39" t="s">
        <v>1826</v>
      </c>
      <c r="B4" s="9">
        <v>491.6</v>
      </c>
      <c r="C4" s="10">
        <v>139.2</v>
      </c>
      <c r="D4" s="11">
        <v>3.55</v>
      </c>
      <c r="E4" s="12">
        <v>79.9</v>
      </c>
      <c r="F4" s="12">
        <v>95.1</v>
      </c>
      <c r="G4" s="9">
        <v>25070335</v>
      </c>
    </row>
    <row r="5" ht="16.5" spans="1:7">
      <c r="A5" s="39" t="s">
        <v>1827</v>
      </c>
      <c r="B5" s="9">
        <v>403.4</v>
      </c>
      <c r="C5" s="10">
        <v>120.9</v>
      </c>
      <c r="D5" s="11">
        <v>3.15</v>
      </c>
      <c r="E5" s="12">
        <v>81</v>
      </c>
      <c r="F5" s="12">
        <v>96.6</v>
      </c>
      <c r="G5" s="9">
        <v>25040103</v>
      </c>
    </row>
    <row r="6" ht="16.5" spans="1:7">
      <c r="A6" s="39" t="s">
        <v>1828</v>
      </c>
      <c r="B6" s="9">
        <v>459.2</v>
      </c>
      <c r="C6" s="10">
        <v>253.7</v>
      </c>
      <c r="D6" s="11">
        <v>4.97</v>
      </c>
      <c r="E6" s="12">
        <v>91.3</v>
      </c>
      <c r="F6" s="12">
        <v>98.9</v>
      </c>
      <c r="G6" s="34">
        <v>25030391</v>
      </c>
    </row>
    <row r="7" ht="16.5" spans="1:7">
      <c r="A7" s="39" t="s">
        <v>1829</v>
      </c>
      <c r="B7" s="9">
        <v>125.8</v>
      </c>
      <c r="C7" s="10">
        <v>197.4</v>
      </c>
      <c r="D7" s="11">
        <v>5.66</v>
      </c>
      <c r="E7" s="12">
        <v>76.9</v>
      </c>
      <c r="F7" s="12">
        <v>92.8</v>
      </c>
      <c r="G7" s="34">
        <v>25040383</v>
      </c>
    </row>
    <row r="8" ht="16.5" spans="1:7">
      <c r="A8" s="39" t="s">
        <v>1830</v>
      </c>
      <c r="B8" s="9">
        <v>806</v>
      </c>
      <c r="C8" s="10">
        <v>108.5</v>
      </c>
      <c r="D8" s="11">
        <v>2.83</v>
      </c>
      <c r="E8" s="12">
        <v>79.4</v>
      </c>
      <c r="F8" s="12">
        <v>96</v>
      </c>
      <c r="G8" s="9">
        <v>25040121</v>
      </c>
    </row>
    <row r="9" ht="16.5" spans="1:7">
      <c r="A9" s="39" t="s">
        <v>1831</v>
      </c>
      <c r="B9" s="9">
        <v>535.4</v>
      </c>
      <c r="C9" s="10">
        <v>201.1</v>
      </c>
      <c r="D9" s="11">
        <v>6.03</v>
      </c>
      <c r="E9" s="12">
        <v>76.6</v>
      </c>
      <c r="F9" s="12">
        <v>92.4</v>
      </c>
      <c r="G9" s="34">
        <v>25040381</v>
      </c>
    </row>
    <row r="10" ht="16.5" spans="1:7">
      <c r="A10" s="39" t="s">
        <v>1832</v>
      </c>
      <c r="B10" s="9">
        <v>841.4</v>
      </c>
      <c r="C10" s="10">
        <v>109.2</v>
      </c>
      <c r="D10" s="11">
        <v>3.06</v>
      </c>
      <c r="E10" s="12">
        <v>81.9</v>
      </c>
      <c r="F10" s="12">
        <v>97.1</v>
      </c>
      <c r="G10" s="9">
        <v>25070294</v>
      </c>
    </row>
    <row r="11" ht="16.5" spans="1:7">
      <c r="A11" s="39" t="s">
        <v>1833</v>
      </c>
      <c r="B11" s="9">
        <v>843.6</v>
      </c>
      <c r="C11" s="10">
        <v>110.6</v>
      </c>
      <c r="D11" s="11">
        <v>3.24</v>
      </c>
      <c r="E11" s="12">
        <v>81.6</v>
      </c>
      <c r="F11" s="12">
        <v>96.9</v>
      </c>
      <c r="G11" s="9">
        <v>25070306</v>
      </c>
    </row>
    <row r="12" ht="16.5" spans="1:7">
      <c r="A12" s="39" t="s">
        <v>1834</v>
      </c>
      <c r="B12" s="9">
        <v>453.2</v>
      </c>
      <c r="C12" s="10">
        <v>283</v>
      </c>
      <c r="D12" s="11">
        <v>4.03</v>
      </c>
      <c r="E12" s="12">
        <v>88.3</v>
      </c>
      <c r="F12" s="12">
        <v>97.6</v>
      </c>
      <c r="G12" s="34">
        <v>25070114</v>
      </c>
    </row>
    <row r="13" ht="16.5" spans="1:7">
      <c r="A13" s="39" t="s">
        <v>1835</v>
      </c>
      <c r="B13" s="9">
        <v>769.2</v>
      </c>
      <c r="C13" s="10">
        <v>111.4</v>
      </c>
      <c r="D13" s="11">
        <v>3.28</v>
      </c>
      <c r="E13" s="12">
        <v>81.5</v>
      </c>
      <c r="F13" s="12">
        <v>96.7</v>
      </c>
      <c r="G13" s="9">
        <v>25070307</v>
      </c>
    </row>
    <row r="14" ht="16.5" spans="1:7">
      <c r="A14" s="39" t="s">
        <v>1836</v>
      </c>
      <c r="B14" s="9">
        <v>518.2</v>
      </c>
      <c r="C14" s="10">
        <v>197.3</v>
      </c>
      <c r="D14" s="11">
        <v>5.76</v>
      </c>
      <c r="E14" s="12">
        <v>63.3</v>
      </c>
      <c r="F14" s="12">
        <v>86.7</v>
      </c>
      <c r="G14" s="9">
        <v>25020166</v>
      </c>
    </row>
    <row r="15" ht="16.5" spans="1:7">
      <c r="A15" s="39" t="s">
        <v>1837</v>
      </c>
      <c r="B15" s="9">
        <v>515.6</v>
      </c>
      <c r="C15" s="10">
        <v>102.7</v>
      </c>
      <c r="D15" s="11">
        <v>2.99</v>
      </c>
      <c r="E15" s="12">
        <v>81.8</v>
      </c>
      <c r="F15" s="12">
        <v>97</v>
      </c>
      <c r="G15" s="9">
        <v>25070295</v>
      </c>
    </row>
    <row r="16" ht="16.5" spans="1:7">
      <c r="A16" s="39" t="s">
        <v>1838</v>
      </c>
      <c r="B16" s="9">
        <v>486.6</v>
      </c>
      <c r="C16" s="10">
        <v>103.4</v>
      </c>
      <c r="D16" s="11">
        <v>2.96</v>
      </c>
      <c r="E16" s="12">
        <v>79.3</v>
      </c>
      <c r="F16" s="12">
        <v>96</v>
      </c>
      <c r="G16" s="9">
        <v>25080028</v>
      </c>
    </row>
    <row r="17" ht="16.5" spans="1:7">
      <c r="A17" s="39" t="s">
        <v>1839</v>
      </c>
      <c r="B17" s="9">
        <v>392</v>
      </c>
      <c r="C17" s="10">
        <v>218.3</v>
      </c>
      <c r="D17" s="11">
        <v>5.6</v>
      </c>
      <c r="E17" s="12">
        <v>75.2</v>
      </c>
      <c r="F17" s="12">
        <v>92.1</v>
      </c>
      <c r="G17" s="9">
        <v>25070318</v>
      </c>
    </row>
    <row r="18" ht="16.5" spans="1:7">
      <c r="A18" s="39" t="s">
        <v>1840</v>
      </c>
      <c r="B18" s="9">
        <v>317.4</v>
      </c>
      <c r="C18" s="10">
        <v>118.1</v>
      </c>
      <c r="D18" s="11">
        <v>3.12</v>
      </c>
      <c r="E18" s="12">
        <v>81.1</v>
      </c>
      <c r="F18" s="12">
        <v>96.6</v>
      </c>
      <c r="G18" s="9">
        <v>25040104</v>
      </c>
    </row>
    <row r="19" ht="16.5" spans="1:7">
      <c r="A19" s="23" t="s">
        <v>1841</v>
      </c>
      <c r="B19" s="14">
        <v>519.2</v>
      </c>
      <c r="C19" s="15">
        <v>139.2</v>
      </c>
      <c r="D19" s="16">
        <v>3.7</v>
      </c>
      <c r="E19" s="17">
        <v>58.6</v>
      </c>
      <c r="F19" s="17">
        <v>85.7</v>
      </c>
      <c r="G19" s="14">
        <v>25020282</v>
      </c>
    </row>
    <row r="20" ht="16.5" spans="1:7">
      <c r="A20" s="23" t="s">
        <v>1842</v>
      </c>
      <c r="B20" s="14">
        <v>475.8</v>
      </c>
      <c r="C20" s="15">
        <v>235.3</v>
      </c>
      <c r="D20" s="16">
        <v>4.29</v>
      </c>
      <c r="E20" s="17">
        <v>85.5</v>
      </c>
      <c r="F20" s="17">
        <v>97</v>
      </c>
      <c r="G20" s="14">
        <v>25070329</v>
      </c>
    </row>
    <row r="21" ht="16.5" spans="1:7">
      <c r="A21" s="23" t="s">
        <v>1843</v>
      </c>
      <c r="B21" s="14">
        <v>472.4</v>
      </c>
      <c r="C21" s="15">
        <v>236.4</v>
      </c>
      <c r="D21" s="16">
        <v>4.38</v>
      </c>
      <c r="E21" s="17">
        <v>91.4</v>
      </c>
      <c r="F21" s="17">
        <v>98.9</v>
      </c>
      <c r="G21" s="14">
        <v>25050034</v>
      </c>
    </row>
    <row r="23" ht="16.5" spans="1:7">
      <c r="A23" s="23"/>
      <c r="B23" s="14"/>
      <c r="C23" s="15"/>
      <c r="D23" s="16"/>
      <c r="E23" s="17"/>
      <c r="F23" s="17"/>
      <c r="G23" s="14"/>
    </row>
  </sheetData>
  <conditionalFormatting sqref="A1:A2">
    <cfRule type="duplicateValues" dxfId="0" priority="1"/>
  </conditionalFormatting>
  <dataValidations count="1">
    <dataValidation allowBlank="1" showInputMessage="1" showErrorMessage="1" sqref="B8 B10 B23:C23 B3:B6 B14:B18 B20:B21 C3:C21"/>
  </dataValidations>
  <pageMargins left="0.75" right="0.75" top="1" bottom="1" header="0.5" footer="0.5"/>
  <pageSetup paperSize="9" orientation="portrait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J1" sqref="J$1:M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805</v>
      </c>
      <c r="B1" s="2">
        <f>SUM(B3:B30)</f>
        <v>5141</v>
      </c>
      <c r="C1" s="3" cm="1">
        <f t="array" ref="C1">SUMPRODUCT(C3:C30*B3:B30)/B1</f>
        <v>197.78378914608</v>
      </c>
      <c r="D1" s="4" cm="1">
        <f t="array" ref="D1">SUMPRODUCT(B3:B30*D3:D30)/B1</f>
        <v>4.5979821046489</v>
      </c>
      <c r="E1" s="3" cm="1">
        <f t="array" ref="E1">SUMPRODUCT(B3:B30*E3:E30)/B1</f>
        <v>82.445625364715</v>
      </c>
      <c r="F1" s="3" cm="1">
        <f t="array" ref="F1">SUMPRODUCT(B3:B30*F3:F30)/B1</f>
        <v>95.432915775141</v>
      </c>
    </row>
    <row r="2" ht="16.5" spans="1:7">
      <c r="A2" s="52">
        <v>180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</row>
    <row r="3" ht="16.5" spans="1:7">
      <c r="A3" s="39" t="s">
        <v>1844</v>
      </c>
      <c r="B3" s="9">
        <v>504.2</v>
      </c>
      <c r="C3" s="10">
        <v>199.1</v>
      </c>
      <c r="D3" s="11">
        <v>5.55</v>
      </c>
      <c r="E3" s="12">
        <v>83.6</v>
      </c>
      <c r="F3" s="12">
        <v>96.4</v>
      </c>
      <c r="G3" s="9">
        <v>25050060</v>
      </c>
    </row>
    <row r="4" ht="16.5" spans="1:7">
      <c r="A4" s="39" t="s">
        <v>1845</v>
      </c>
      <c r="B4" s="9">
        <v>590.8</v>
      </c>
      <c r="C4" s="10">
        <v>192.5</v>
      </c>
      <c r="D4" s="11">
        <v>5.13</v>
      </c>
      <c r="E4" s="12">
        <v>79.5</v>
      </c>
      <c r="F4" s="12">
        <v>94.4</v>
      </c>
      <c r="G4" s="9">
        <v>25070240</v>
      </c>
    </row>
    <row r="5" ht="16.5" spans="1:7">
      <c r="A5" s="39" t="s">
        <v>1846</v>
      </c>
      <c r="B5" s="9">
        <v>722.6</v>
      </c>
      <c r="C5" s="10">
        <v>192.2</v>
      </c>
      <c r="D5" s="11">
        <v>4.03</v>
      </c>
      <c r="E5" s="12">
        <v>80.6</v>
      </c>
      <c r="F5" s="12">
        <v>94.1</v>
      </c>
      <c r="G5" s="9">
        <v>25070249</v>
      </c>
    </row>
    <row r="6" ht="16.5" spans="1:7">
      <c r="A6" s="39" t="s">
        <v>1847</v>
      </c>
      <c r="B6" s="9">
        <v>491</v>
      </c>
      <c r="C6" s="10">
        <v>196.8</v>
      </c>
      <c r="D6" s="11">
        <v>4.49</v>
      </c>
      <c r="E6" s="12">
        <v>79.2</v>
      </c>
      <c r="F6" s="12">
        <v>94</v>
      </c>
      <c r="G6" s="9">
        <v>25070290</v>
      </c>
    </row>
    <row r="7" ht="16.5" spans="1:7">
      <c r="A7" s="39" t="s">
        <v>1848</v>
      </c>
      <c r="B7" s="9">
        <v>717.6</v>
      </c>
      <c r="C7" s="10">
        <v>182.6</v>
      </c>
      <c r="D7" s="11">
        <v>4.43</v>
      </c>
      <c r="E7" s="12">
        <v>80.5</v>
      </c>
      <c r="F7" s="12">
        <v>95</v>
      </c>
      <c r="G7" s="9">
        <v>25070182</v>
      </c>
    </row>
    <row r="8" ht="16.5" spans="1:7">
      <c r="A8" s="39" t="s">
        <v>1849</v>
      </c>
      <c r="B8" s="9">
        <v>812.8</v>
      </c>
      <c r="C8" s="10">
        <v>215.2</v>
      </c>
      <c r="D8" s="11">
        <v>4.66</v>
      </c>
      <c r="E8" s="12">
        <v>83.9</v>
      </c>
      <c r="F8" s="12">
        <v>95.8</v>
      </c>
      <c r="G8" s="9">
        <v>25070303</v>
      </c>
    </row>
    <row r="9" ht="16.5" spans="1:7">
      <c r="A9" s="39" t="s">
        <v>1850</v>
      </c>
      <c r="B9" s="9">
        <v>365.6</v>
      </c>
      <c r="C9" s="10">
        <v>212.4</v>
      </c>
      <c r="D9" s="11">
        <v>4.41</v>
      </c>
      <c r="E9" s="12">
        <v>87.6</v>
      </c>
      <c r="F9" s="12">
        <v>97.5</v>
      </c>
      <c r="G9" s="9">
        <v>25040319</v>
      </c>
    </row>
    <row r="10" ht="16.5" spans="1:7">
      <c r="A10" s="68" t="s">
        <v>1851</v>
      </c>
      <c r="B10" s="56">
        <v>429.2</v>
      </c>
      <c r="C10" s="12">
        <v>184.4</v>
      </c>
      <c r="D10" s="57">
        <v>4.55</v>
      </c>
      <c r="E10" s="12">
        <v>78.2</v>
      </c>
      <c r="F10" s="12">
        <v>93.3</v>
      </c>
      <c r="G10" s="56">
        <v>25040286</v>
      </c>
    </row>
    <row r="11" ht="16.5" spans="1:7">
      <c r="A11" s="23" t="s">
        <v>1852</v>
      </c>
      <c r="B11" s="14">
        <v>507.2</v>
      </c>
      <c r="C11" s="15">
        <v>205.9</v>
      </c>
      <c r="D11" s="16">
        <v>4.26</v>
      </c>
      <c r="E11" s="17">
        <v>90.8</v>
      </c>
      <c r="F11" s="17">
        <v>99.3</v>
      </c>
      <c r="G11" s="14">
        <v>25040128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8 B3:C7 B9:C11"/>
  </dataValidations>
  <pageMargins left="0.75" right="0.75" top="1" bottom="1" header="0.5" footer="0.5"/>
  <pageSetup paperSize="9" orientation="portrait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P27" sqref="P27"/>
    </sheetView>
  </sheetViews>
  <sheetFormatPr defaultColWidth="9" defaultRowHeight="13.5"/>
  <cols>
    <col min="1" max="1" width="15.625" customWidth="1"/>
    <col min="10" max="10" width="15.625" customWidth="1"/>
    <col min="11" max="11" width="9.375"/>
    <col min="16" max="16" width="9.375"/>
  </cols>
  <sheetData>
    <row r="1" ht="16.5" spans="1:16">
      <c r="A1" s="116">
        <v>806</v>
      </c>
      <c r="B1" s="2">
        <f>SUM(B3:B39)</f>
        <v>3260.62</v>
      </c>
      <c r="C1" s="3" cm="1">
        <f t="array" ref="C1">SUMPRODUCT(C3:C40*B3:B40)/B1</f>
        <v>196.625528273764</v>
      </c>
      <c r="D1" s="4" cm="1">
        <f t="array" ref="D1">SUMPRODUCT(B3:B40*D3:D40)/B1</f>
        <v>4.39757954008747</v>
      </c>
      <c r="E1" s="3" cm="1">
        <f t="array" ref="E1">SUMPRODUCT(B3:B40*E3:E40)/B1</f>
        <v>81.8261790702382</v>
      </c>
      <c r="F1" s="3" cm="1">
        <f t="array" ref="F1">SUMPRODUCT(B3:B40*F3:F40)/B1</f>
        <v>95.3578294925505</v>
      </c>
      <c r="J1" s="116">
        <v>806</v>
      </c>
      <c r="K1" s="2">
        <f>SUM(K3:K30)</f>
        <v>10079.02</v>
      </c>
      <c r="L1" s="3" cm="1">
        <f t="array" ref="L1">SUMPRODUCT(L3:L30*K3:K30)/K1</f>
        <v>256.870131223075</v>
      </c>
      <c r="M1" s="4" cm="1">
        <f t="array" ref="M1">SUMPRODUCT(K3:K30*M3:M30)/K1</f>
        <v>4.88657228579763</v>
      </c>
      <c r="N1" s="3" cm="1">
        <f t="array" ref="N1">SUMPRODUCT(K3:K30*N3:N30)/K1</f>
        <v>85.9915067139464</v>
      </c>
      <c r="O1" s="3" cm="1">
        <f t="array" ref="O1">SUMPRODUCT(K3:K30*O3:O30)/K1</f>
        <v>96.6314806399829</v>
      </c>
    </row>
    <row r="2" ht="16.5" spans="1:16">
      <c r="A2" s="52">
        <v>240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J2" s="52">
        <v>240</v>
      </c>
      <c r="K2" s="52" t="s">
        <v>0</v>
      </c>
      <c r="L2" s="52" t="s">
        <v>1</v>
      </c>
      <c r="M2" s="52" t="s">
        <v>2</v>
      </c>
      <c r="N2" s="52" t="s">
        <v>3</v>
      </c>
      <c r="O2" s="52" t="s">
        <v>4</v>
      </c>
    </row>
    <row r="3" ht="16.5" spans="1:16">
      <c r="A3" s="131">
        <v>20250103</v>
      </c>
      <c r="B3" s="131">
        <v>125</v>
      </c>
      <c r="C3" s="145">
        <v>236</v>
      </c>
      <c r="D3" s="145">
        <v>4.99</v>
      </c>
      <c r="E3" s="146">
        <v>87.4</v>
      </c>
      <c r="F3" s="146">
        <v>95.9</v>
      </c>
      <c r="K3" s="147">
        <v>3260.62</v>
      </c>
      <c r="L3" s="147">
        <v>196.625528273764</v>
      </c>
      <c r="M3" s="148">
        <v>4.39757954008747</v>
      </c>
      <c r="N3" s="147">
        <v>81.8261790702382</v>
      </c>
      <c r="O3" s="147">
        <v>95.3578294925505</v>
      </c>
    </row>
    <row r="4" ht="16.5" spans="1:16">
      <c r="A4" s="149" t="s">
        <v>1853</v>
      </c>
      <c r="B4" s="131">
        <v>200</v>
      </c>
      <c r="C4" s="145">
        <v>258.7</v>
      </c>
      <c r="D4" s="145">
        <v>4.96</v>
      </c>
      <c r="E4" s="146">
        <v>86.2</v>
      </c>
      <c r="F4" s="146">
        <v>96.4</v>
      </c>
      <c r="J4" s="39" t="s">
        <v>1854</v>
      </c>
      <c r="K4" s="9">
        <v>494.8</v>
      </c>
      <c r="L4" s="10">
        <v>290.4</v>
      </c>
      <c r="M4" s="11">
        <v>5.16</v>
      </c>
      <c r="N4" s="12">
        <v>88.2</v>
      </c>
      <c r="O4" s="12">
        <v>97.4</v>
      </c>
      <c r="P4" s="9">
        <v>24120249</v>
      </c>
    </row>
    <row r="5" ht="16.5" spans="1:16">
      <c r="A5" s="131">
        <v>20250413</v>
      </c>
      <c r="B5" s="131">
        <v>84.48</v>
      </c>
      <c r="C5" s="145">
        <v>245.4</v>
      </c>
      <c r="D5" s="145">
        <v>4.38</v>
      </c>
      <c r="E5" s="146">
        <v>91.2</v>
      </c>
      <c r="F5" s="146">
        <v>98.7</v>
      </c>
      <c r="J5" s="39" t="s">
        <v>1855</v>
      </c>
      <c r="K5" s="9">
        <v>489.8</v>
      </c>
      <c r="L5" s="10">
        <v>293.5</v>
      </c>
      <c r="M5" s="11">
        <v>5.16</v>
      </c>
      <c r="N5" s="12">
        <v>88.6</v>
      </c>
      <c r="O5" s="12">
        <v>97.2</v>
      </c>
      <c r="P5" s="9">
        <v>25020291</v>
      </c>
    </row>
    <row r="6" ht="16.5" spans="1:16">
      <c r="A6" s="131">
        <v>20250416</v>
      </c>
      <c r="B6" s="131">
        <v>57.5</v>
      </c>
      <c r="C6" s="145">
        <v>210.8</v>
      </c>
      <c r="D6" s="145">
        <v>4.74</v>
      </c>
      <c r="E6" s="146">
        <v>86.2</v>
      </c>
      <c r="F6" s="146">
        <v>96.8</v>
      </c>
      <c r="J6" s="39" t="s">
        <v>1856</v>
      </c>
      <c r="K6" s="9">
        <v>776.6</v>
      </c>
      <c r="L6" s="10">
        <v>290.5</v>
      </c>
      <c r="M6" s="11">
        <v>4.82</v>
      </c>
      <c r="N6" s="12">
        <v>89.8</v>
      </c>
      <c r="O6" s="12">
        <v>97.7</v>
      </c>
      <c r="P6" s="9">
        <v>25030276</v>
      </c>
    </row>
    <row r="7" ht="16.5" spans="1:16">
      <c r="A7" s="131">
        <v>20250321</v>
      </c>
      <c r="B7" s="131">
        <v>34.04</v>
      </c>
      <c r="C7" s="145">
        <v>165.6</v>
      </c>
      <c r="D7" s="145">
        <v>3.72</v>
      </c>
      <c r="E7" s="146">
        <v>81.7</v>
      </c>
      <c r="F7" s="146">
        <v>96.5</v>
      </c>
      <c r="J7" s="39" t="s">
        <v>1857</v>
      </c>
      <c r="K7" s="9">
        <v>206.8</v>
      </c>
      <c r="L7" s="10">
        <v>292.5</v>
      </c>
      <c r="M7" s="11">
        <v>4.66</v>
      </c>
      <c r="N7" s="12">
        <v>89.9</v>
      </c>
      <c r="O7" s="12">
        <v>97.6</v>
      </c>
      <c r="P7" s="9">
        <v>25040529</v>
      </c>
    </row>
    <row r="8" ht="16.5" spans="1:16">
      <c r="A8" s="131">
        <v>20250612</v>
      </c>
      <c r="B8" s="131">
        <v>35</v>
      </c>
      <c r="C8" s="145">
        <v>213.3</v>
      </c>
      <c r="D8" s="145">
        <v>4.94</v>
      </c>
      <c r="E8" s="146">
        <v>83.2</v>
      </c>
      <c r="F8" s="146">
        <v>95.7</v>
      </c>
      <c r="J8" s="39" t="s">
        <v>1858</v>
      </c>
      <c r="K8" s="9">
        <v>503.6</v>
      </c>
      <c r="L8" s="10">
        <v>286.6</v>
      </c>
      <c r="M8" s="11">
        <v>5</v>
      </c>
      <c r="N8" s="12">
        <v>87.2</v>
      </c>
      <c r="O8" s="12">
        <v>96.6</v>
      </c>
      <c r="P8" s="9">
        <v>24120328</v>
      </c>
    </row>
    <row r="9" ht="16.5" spans="1:16">
      <c r="A9" s="131">
        <v>20250409</v>
      </c>
      <c r="B9" s="131">
        <v>56.54</v>
      </c>
      <c r="C9" s="145">
        <v>213.3</v>
      </c>
      <c r="D9" s="145">
        <v>4.94</v>
      </c>
      <c r="E9" s="146">
        <v>84.5</v>
      </c>
      <c r="F9" s="146">
        <v>96.7</v>
      </c>
      <c r="J9" s="39" t="s">
        <v>1859</v>
      </c>
      <c r="K9" s="9">
        <v>495.2</v>
      </c>
      <c r="L9" s="10">
        <v>287.9</v>
      </c>
      <c r="M9" s="11">
        <v>5</v>
      </c>
      <c r="N9" s="12">
        <v>87.4</v>
      </c>
      <c r="O9" s="12">
        <v>96.9</v>
      </c>
      <c r="P9" s="9">
        <v>24120329</v>
      </c>
    </row>
    <row r="10" ht="16.5" spans="1:16">
      <c r="A10" s="131">
        <v>20250309</v>
      </c>
      <c r="B10" s="131">
        <v>38.52</v>
      </c>
      <c r="C10" s="145">
        <v>102.4</v>
      </c>
      <c r="D10" s="145">
        <v>2.79</v>
      </c>
      <c r="E10" s="146">
        <v>65.9</v>
      </c>
      <c r="F10" s="146">
        <v>88.6</v>
      </c>
      <c r="J10" s="39" t="s">
        <v>1860</v>
      </c>
      <c r="K10" s="9">
        <v>186.2</v>
      </c>
      <c r="L10" s="10">
        <v>288.1</v>
      </c>
      <c r="M10" s="11">
        <v>5.05</v>
      </c>
      <c r="N10" s="12">
        <v>87.5</v>
      </c>
      <c r="O10" s="12">
        <v>97.1</v>
      </c>
      <c r="P10" s="9">
        <v>24120327</v>
      </c>
    </row>
    <row r="11" ht="16.5" spans="1:16">
      <c r="A11" s="131">
        <v>20250614</v>
      </c>
      <c r="B11" s="131">
        <v>31.06</v>
      </c>
      <c r="C11" s="145">
        <v>229.4</v>
      </c>
      <c r="D11" s="145">
        <v>4.93</v>
      </c>
      <c r="E11" s="146">
        <v>85.5</v>
      </c>
      <c r="F11" s="146">
        <v>96.4</v>
      </c>
      <c r="J11" s="39" t="s">
        <v>1861</v>
      </c>
      <c r="K11" s="9">
        <v>285</v>
      </c>
      <c r="L11" s="10">
        <v>286.7</v>
      </c>
      <c r="M11" s="11">
        <v>5.35</v>
      </c>
      <c r="N11" s="12">
        <v>86.3</v>
      </c>
      <c r="O11" s="12">
        <v>96.5</v>
      </c>
      <c r="P11" s="9">
        <v>24120506</v>
      </c>
    </row>
    <row r="12" ht="16.5" spans="1:16">
      <c r="A12" s="131">
        <v>20250310</v>
      </c>
      <c r="B12" s="131">
        <v>38.52</v>
      </c>
      <c r="C12" s="145">
        <v>110</v>
      </c>
      <c r="D12" s="145">
        <v>2.83</v>
      </c>
      <c r="E12" s="146">
        <v>68.4</v>
      </c>
      <c r="F12" s="146">
        <v>90.2</v>
      </c>
      <c r="J12" s="39" t="s">
        <v>1862</v>
      </c>
      <c r="K12" s="9">
        <v>490.4</v>
      </c>
      <c r="L12" s="10">
        <v>288.4</v>
      </c>
      <c r="M12" s="11">
        <v>5.44</v>
      </c>
      <c r="N12" s="12">
        <v>87.1</v>
      </c>
      <c r="O12" s="12">
        <v>97.2</v>
      </c>
      <c r="P12" s="9">
        <v>24120507</v>
      </c>
    </row>
    <row r="13" ht="16.5" spans="1:16">
      <c r="A13" s="131">
        <v>20205316</v>
      </c>
      <c r="B13" s="131">
        <v>112.66</v>
      </c>
      <c r="C13" s="145">
        <v>224</v>
      </c>
      <c r="D13" s="145">
        <v>5.02</v>
      </c>
      <c r="E13" s="146">
        <v>83.9</v>
      </c>
      <c r="F13" s="146">
        <v>95.9</v>
      </c>
      <c r="J13" s="39" t="s">
        <v>1863</v>
      </c>
      <c r="K13" s="9">
        <v>457.8</v>
      </c>
      <c r="L13" s="10">
        <v>276.2</v>
      </c>
      <c r="M13" s="11">
        <v>4.15</v>
      </c>
      <c r="N13" s="12">
        <v>86.7</v>
      </c>
      <c r="O13" s="12">
        <v>96.7</v>
      </c>
      <c r="P13" s="9">
        <v>25070115</v>
      </c>
    </row>
    <row r="14" ht="16.5" spans="1:16">
      <c r="A14" s="131">
        <v>20250307</v>
      </c>
      <c r="B14" s="131">
        <v>25</v>
      </c>
      <c r="C14" s="145">
        <v>169.6</v>
      </c>
      <c r="D14" s="145">
        <v>3.81</v>
      </c>
      <c r="E14" s="146">
        <v>78.6</v>
      </c>
      <c r="F14" s="146">
        <v>94.3</v>
      </c>
      <c r="J14" s="39" t="s">
        <v>1864</v>
      </c>
      <c r="K14" s="9">
        <v>507</v>
      </c>
      <c r="L14" s="10">
        <v>275.5</v>
      </c>
      <c r="M14" s="11">
        <v>5.19</v>
      </c>
      <c r="N14" s="12">
        <v>87.3</v>
      </c>
      <c r="O14" s="12">
        <v>97.5</v>
      </c>
      <c r="P14" s="9">
        <v>24120305</v>
      </c>
    </row>
    <row r="15" ht="16.5" spans="1:16">
      <c r="A15" s="131">
        <v>20250312</v>
      </c>
      <c r="B15" s="131">
        <v>22.3</v>
      </c>
      <c r="C15" s="145">
        <v>144.6</v>
      </c>
      <c r="D15" s="145">
        <v>3.66</v>
      </c>
      <c r="E15" s="146">
        <v>76.8</v>
      </c>
      <c r="F15" s="146">
        <v>93.5</v>
      </c>
      <c r="J15" s="39" t="s">
        <v>1865</v>
      </c>
      <c r="K15" s="9">
        <v>512</v>
      </c>
      <c r="L15" s="10">
        <v>273.1</v>
      </c>
      <c r="M15" s="11">
        <v>5.68</v>
      </c>
      <c r="N15" s="12">
        <v>87.3</v>
      </c>
      <c r="O15" s="12">
        <v>97.3</v>
      </c>
      <c r="P15" s="9">
        <v>25010012</v>
      </c>
    </row>
    <row r="16" ht="16.5" spans="1:16">
      <c r="A16" s="131">
        <v>20250702</v>
      </c>
      <c r="B16" s="131">
        <v>70</v>
      </c>
      <c r="C16" s="150">
        <v>150</v>
      </c>
      <c r="D16" s="145">
        <v>3.66</v>
      </c>
      <c r="E16" s="146">
        <v>77.7</v>
      </c>
      <c r="F16" s="146">
        <v>94.1</v>
      </c>
      <c r="J16" s="39" t="s">
        <v>1866</v>
      </c>
      <c r="K16" s="9">
        <v>485.6</v>
      </c>
      <c r="L16" s="10">
        <v>263</v>
      </c>
      <c r="M16" s="11">
        <v>5.13</v>
      </c>
      <c r="N16" s="12">
        <v>87.9</v>
      </c>
      <c r="O16" s="12">
        <v>97.1</v>
      </c>
      <c r="P16" s="9">
        <v>25030298</v>
      </c>
    </row>
    <row r="17" ht="16.5" spans="1:16">
      <c r="A17" s="131">
        <v>20250604</v>
      </c>
      <c r="B17" s="131">
        <v>132.5</v>
      </c>
      <c r="C17" s="150">
        <v>245</v>
      </c>
      <c r="D17" s="145">
        <v>4.91</v>
      </c>
      <c r="E17" s="146">
        <v>80.5</v>
      </c>
      <c r="F17" s="146">
        <v>93.7</v>
      </c>
      <c r="J17" s="115" t="s">
        <v>1867</v>
      </c>
      <c r="K17" s="109">
        <v>442.4</v>
      </c>
      <c r="L17" s="111">
        <v>297.2</v>
      </c>
      <c r="M17" s="112">
        <v>5.49</v>
      </c>
      <c r="N17" s="113">
        <v>86.8</v>
      </c>
      <c r="O17" s="113">
        <v>96.9</v>
      </c>
      <c r="P17" s="109">
        <v>24120505</v>
      </c>
    </row>
    <row r="18" ht="16.5" spans="1:16">
      <c r="A18" s="131">
        <v>20250608</v>
      </c>
      <c r="B18" s="131">
        <v>256.34</v>
      </c>
      <c r="C18" s="145">
        <v>187.8</v>
      </c>
      <c r="D18" s="145">
        <v>4.13</v>
      </c>
      <c r="E18" s="146">
        <v>81.4</v>
      </c>
      <c r="F18" s="146">
        <v>94.9</v>
      </c>
      <c r="J18" s="23" t="s">
        <v>1868</v>
      </c>
      <c r="K18" s="14">
        <v>485.2</v>
      </c>
      <c r="L18" s="15">
        <v>299.9</v>
      </c>
      <c r="M18" s="16">
        <v>5.44</v>
      </c>
      <c r="N18" s="17">
        <v>90.7</v>
      </c>
      <c r="O18" s="17">
        <v>98.4</v>
      </c>
      <c r="P18" s="14">
        <v>24120155</v>
      </c>
    </row>
    <row r="19" ht="16.5" spans="1:16">
      <c r="A19" s="131">
        <v>20250710</v>
      </c>
      <c r="B19" s="131">
        <v>69.12</v>
      </c>
      <c r="C19" s="145">
        <v>245.1</v>
      </c>
      <c r="D19" s="145">
        <v>4.9</v>
      </c>
      <c r="E19" s="146">
        <v>81.1</v>
      </c>
      <c r="F19" s="146">
        <v>94.2</v>
      </c>
    </row>
    <row r="20" ht="16.5" spans="1:16">
      <c r="A20" s="131">
        <v>20250711</v>
      </c>
      <c r="B20" s="131">
        <v>18.52</v>
      </c>
      <c r="C20" s="145">
        <v>168.6</v>
      </c>
      <c r="D20" s="145">
        <v>3.84</v>
      </c>
      <c r="E20" s="146">
        <v>78.4</v>
      </c>
      <c r="F20" s="146">
        <v>93.9</v>
      </c>
    </row>
    <row r="21" ht="16.5" spans="1:16">
      <c r="A21" s="131">
        <v>20250713</v>
      </c>
      <c r="B21" s="131">
        <v>129.76</v>
      </c>
      <c r="C21" s="145">
        <v>131.2</v>
      </c>
      <c r="D21" s="145">
        <v>3.46</v>
      </c>
      <c r="E21" s="146">
        <v>76.2</v>
      </c>
      <c r="F21" s="146">
        <v>94.6</v>
      </c>
    </row>
    <row r="22" ht="16.5" spans="1:16">
      <c r="A22" s="131">
        <v>20250715</v>
      </c>
      <c r="B22" s="131">
        <v>126</v>
      </c>
      <c r="C22" s="145">
        <v>208.4</v>
      </c>
      <c r="D22" s="145">
        <v>4.89</v>
      </c>
      <c r="E22" s="146">
        <v>82.9</v>
      </c>
      <c r="F22" s="146">
        <v>96</v>
      </c>
    </row>
    <row r="23" ht="16.5" spans="1:16">
      <c r="A23" s="131">
        <v>20250716</v>
      </c>
      <c r="B23" s="131">
        <v>15.32</v>
      </c>
      <c r="C23" s="145">
        <v>148.2</v>
      </c>
      <c r="D23" s="145">
        <v>3.78</v>
      </c>
      <c r="E23" s="146">
        <v>77.4</v>
      </c>
      <c r="F23" s="146">
        <v>94</v>
      </c>
    </row>
    <row r="24" ht="16.5" spans="1:16">
      <c r="A24" s="131">
        <v>20250718</v>
      </c>
      <c r="B24" s="131">
        <v>137.2</v>
      </c>
      <c r="C24" s="145">
        <v>150.1</v>
      </c>
      <c r="D24" s="145">
        <v>3.8</v>
      </c>
      <c r="E24" s="146">
        <v>79.3</v>
      </c>
      <c r="F24" s="146">
        <v>95.2</v>
      </c>
    </row>
    <row r="25" ht="16.5" spans="1:16">
      <c r="A25" s="131">
        <v>20250719</v>
      </c>
      <c r="B25" s="131">
        <v>107.7</v>
      </c>
      <c r="C25" s="145">
        <v>170.6</v>
      </c>
      <c r="D25" s="145">
        <v>3.97</v>
      </c>
      <c r="E25" s="146">
        <v>79.9</v>
      </c>
      <c r="F25" s="146">
        <v>95.3</v>
      </c>
    </row>
    <row r="26" ht="16.5" spans="1:16">
      <c r="A26" s="131">
        <v>20250720</v>
      </c>
      <c r="B26" s="131">
        <v>144</v>
      </c>
      <c r="C26" s="145">
        <v>149.1</v>
      </c>
      <c r="D26" s="145">
        <v>3.78</v>
      </c>
      <c r="E26" s="146">
        <v>80.5</v>
      </c>
      <c r="F26" s="146">
        <v>95.7</v>
      </c>
    </row>
    <row r="27" ht="16.5" spans="1:16">
      <c r="A27" s="131">
        <v>20250721</v>
      </c>
      <c r="B27" s="131">
        <v>119.88</v>
      </c>
      <c r="C27" s="145">
        <v>150.6</v>
      </c>
      <c r="D27" s="145">
        <v>3.81</v>
      </c>
      <c r="E27" s="146">
        <v>78.7</v>
      </c>
      <c r="F27" s="146">
        <v>95.1</v>
      </c>
    </row>
    <row r="28" ht="16.5" spans="1:16">
      <c r="A28" s="131">
        <v>20250723</v>
      </c>
      <c r="B28" s="131">
        <v>129.08</v>
      </c>
      <c r="C28" s="145">
        <v>150</v>
      </c>
      <c r="D28" s="145">
        <v>3.81</v>
      </c>
      <c r="E28" s="146">
        <v>79.6</v>
      </c>
      <c r="F28" s="146">
        <v>95.2</v>
      </c>
    </row>
    <row r="29" ht="16.5" spans="1:16">
      <c r="A29" s="131">
        <v>20250724</v>
      </c>
      <c r="B29" s="131">
        <v>123</v>
      </c>
      <c r="C29" s="145">
        <v>194.4</v>
      </c>
      <c r="D29" s="145">
        <v>4.89</v>
      </c>
      <c r="E29" s="146">
        <v>81</v>
      </c>
      <c r="F29" s="146">
        <v>95</v>
      </c>
    </row>
    <row r="30" ht="16.5" spans="1:16">
      <c r="A30" s="131">
        <v>20250725</v>
      </c>
      <c r="B30" s="131">
        <v>15.8</v>
      </c>
      <c r="C30" s="145">
        <v>213.9</v>
      </c>
      <c r="D30" s="145">
        <v>4.82</v>
      </c>
      <c r="E30" s="146">
        <v>82.6</v>
      </c>
      <c r="F30" s="146">
        <v>95.4</v>
      </c>
    </row>
    <row r="31" ht="16.5" spans="1:16">
      <c r="A31" s="131">
        <v>20250613</v>
      </c>
      <c r="B31" s="131">
        <v>151.44</v>
      </c>
      <c r="C31" s="145">
        <v>249.8</v>
      </c>
      <c r="D31" s="145">
        <v>4.84</v>
      </c>
      <c r="E31" s="146">
        <v>86.8</v>
      </c>
      <c r="F31" s="146">
        <v>96.7</v>
      </c>
    </row>
    <row r="32" ht="16.5" spans="1:16">
      <c r="A32" s="131">
        <v>20250615</v>
      </c>
      <c r="B32" s="131">
        <v>75</v>
      </c>
      <c r="C32" s="145">
        <v>210.3</v>
      </c>
      <c r="D32" s="145">
        <v>4.97</v>
      </c>
      <c r="E32" s="146">
        <v>84.8</v>
      </c>
      <c r="F32" s="146">
        <v>96.7</v>
      </c>
    </row>
    <row r="33" ht="16.5" spans="1:6">
      <c r="A33" s="131">
        <v>20250616</v>
      </c>
      <c r="B33" s="131">
        <v>106.4</v>
      </c>
      <c r="C33" s="145">
        <v>169.8</v>
      </c>
      <c r="D33" s="145">
        <v>3.97</v>
      </c>
      <c r="E33" s="146">
        <v>79.3</v>
      </c>
      <c r="F33" s="146">
        <v>94.4</v>
      </c>
    </row>
    <row r="34" ht="16.5" spans="1:6">
      <c r="A34" s="131">
        <v>20250409</v>
      </c>
      <c r="B34" s="131">
        <v>25</v>
      </c>
      <c r="C34" s="145">
        <v>213.3</v>
      </c>
      <c r="D34" s="145">
        <v>4.94</v>
      </c>
      <c r="E34" s="146">
        <v>84.5</v>
      </c>
      <c r="F34" s="146">
        <v>96.7</v>
      </c>
    </row>
    <row r="35" ht="16.5" spans="1:6">
      <c r="A35" s="131">
        <v>20250606</v>
      </c>
      <c r="B35" s="131">
        <v>237.84</v>
      </c>
      <c r="C35" s="145">
        <v>226.2</v>
      </c>
      <c r="D35" s="145">
        <v>4.94</v>
      </c>
      <c r="E35" s="146">
        <v>83.3</v>
      </c>
      <c r="F35" s="146">
        <v>95.9</v>
      </c>
    </row>
    <row r="36" ht="16.5" spans="1:6">
      <c r="A36" s="131">
        <v>20250604</v>
      </c>
      <c r="B36" s="131">
        <v>13.78</v>
      </c>
      <c r="C36" s="150">
        <v>245</v>
      </c>
      <c r="D36" s="145">
        <v>4.91</v>
      </c>
      <c r="E36" s="146">
        <v>80.5</v>
      </c>
      <c r="F36" s="146">
        <v>93.7</v>
      </c>
    </row>
    <row r="37" ht="16.5" spans="1:6">
      <c r="A37" s="131">
        <v>20250703</v>
      </c>
      <c r="B37" s="131">
        <v>73.4</v>
      </c>
      <c r="C37" s="145">
        <v>165.7</v>
      </c>
      <c r="D37" s="145">
        <v>3.84</v>
      </c>
      <c r="E37" s="146">
        <v>77.9</v>
      </c>
      <c r="F37" s="146">
        <v>94.1</v>
      </c>
    </row>
    <row r="38" ht="16.5" spans="1:6">
      <c r="A38" s="131">
        <v>20250704</v>
      </c>
      <c r="B38" s="131">
        <v>110.72</v>
      </c>
      <c r="C38" s="145">
        <v>213</v>
      </c>
      <c r="D38" s="145">
        <v>4.94</v>
      </c>
      <c r="E38" s="146">
        <v>83.9</v>
      </c>
      <c r="F38" s="146">
        <v>96</v>
      </c>
    </row>
    <row r="39" ht="16.5" spans="1:6">
      <c r="A39" s="131">
        <v>20250706</v>
      </c>
      <c r="B39" s="131">
        <v>12.2</v>
      </c>
      <c r="C39" s="145">
        <v>169.8</v>
      </c>
      <c r="D39" s="145">
        <v>4.01</v>
      </c>
      <c r="E39" s="146">
        <v>78.9</v>
      </c>
      <c r="F39" s="146">
        <v>94.4</v>
      </c>
    </row>
  </sheetData>
  <conditionalFormatting sqref="A1:A2">
    <cfRule type="duplicateValues" dxfId="0" priority="3"/>
  </conditionalFormatting>
  <conditionalFormatting sqref="J1:J2">
    <cfRule type="duplicateValues" dxfId="0" priority="1"/>
  </conditionalFormatting>
  <dataValidations count="1">
    <dataValidation allowBlank="1" showInputMessage="1" showErrorMessage="1" sqref="L13 C3:C39 K4:L12 K14:L18"/>
  </dataValidations>
  <pageMargins left="0.75" right="0.75" top="1" bottom="1" header="0.5" footer="0.5"/>
  <pageSetup paperSize="9" orientation="portrait"/>
  <headerFooter/>
  <legacy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N21" sqref="N21"/>
    </sheetView>
  </sheetViews>
  <sheetFormatPr defaultColWidth="9" defaultRowHeight="13.5" outlineLevelCol="6"/>
  <cols>
    <col min="1" max="1" width="15.625" customWidth="1"/>
  </cols>
  <sheetData>
    <row r="1" ht="16.5" spans="1:7">
      <c r="A1" s="116">
        <v>807</v>
      </c>
      <c r="B1" s="2">
        <f>SUM(B3:B30)</f>
        <v>10077.8</v>
      </c>
      <c r="C1" s="3" cm="1">
        <f t="array" ref="C1">SUMPRODUCT(C3:C30*B3:B30)/B1</f>
        <v>236.003776617913</v>
      </c>
      <c r="D1" s="4" cm="1">
        <f t="array" ref="D1">SUMPRODUCT(B3:B30*D3:D30)/B1</f>
        <v>4.96451110361388</v>
      </c>
      <c r="E1" s="3" cm="1">
        <f t="array" ref="E1">SUMPRODUCT(B3:B30*E3:E30)/B1</f>
        <v>83.8995316438112</v>
      </c>
      <c r="F1" s="3" cm="1">
        <f t="array" ref="F1">SUMPRODUCT(B3:B30*F3:F30)/B1</f>
        <v>95.9280934330906</v>
      </c>
    </row>
    <row r="2" ht="16.5" spans="1:7">
      <c r="A2" s="52">
        <v>220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</row>
    <row r="3" ht="16.5" spans="1:7">
      <c r="A3" s="30" t="s">
        <v>1869</v>
      </c>
      <c r="B3" s="24">
        <v>516</v>
      </c>
      <c r="C3" s="28">
        <v>246.5</v>
      </c>
      <c r="D3" s="25">
        <v>5.66</v>
      </c>
      <c r="E3" s="29">
        <v>83.6</v>
      </c>
      <c r="F3" s="29">
        <v>95.7</v>
      </c>
      <c r="G3" s="24">
        <v>25020271</v>
      </c>
    </row>
    <row r="4" ht="16.5" spans="1:7">
      <c r="A4" s="30" t="s">
        <v>1870</v>
      </c>
      <c r="B4" s="24">
        <v>254.4</v>
      </c>
      <c r="C4" s="28">
        <v>216.3</v>
      </c>
      <c r="D4" s="25">
        <v>5.11</v>
      </c>
      <c r="E4" s="29">
        <v>79.8</v>
      </c>
      <c r="F4" s="29">
        <v>94.5</v>
      </c>
      <c r="G4" s="24">
        <v>25020392</v>
      </c>
    </row>
    <row r="5" ht="16.5" spans="1:7">
      <c r="A5" s="30" t="s">
        <v>1871</v>
      </c>
      <c r="B5" s="24">
        <v>541.4</v>
      </c>
      <c r="C5" s="28">
        <v>243.1</v>
      </c>
      <c r="D5" s="25">
        <v>5.71</v>
      </c>
      <c r="E5" s="29">
        <v>86.6</v>
      </c>
      <c r="F5" s="29">
        <v>97.2</v>
      </c>
      <c r="G5" s="24">
        <v>25020455</v>
      </c>
    </row>
    <row r="6" ht="16.5" spans="1:7">
      <c r="A6" s="30" t="s">
        <v>1872</v>
      </c>
      <c r="B6" s="24">
        <v>510.6</v>
      </c>
      <c r="C6" s="28">
        <v>249.6</v>
      </c>
      <c r="D6" s="25">
        <v>5.24</v>
      </c>
      <c r="E6" s="29">
        <v>90.1</v>
      </c>
      <c r="F6" s="29">
        <v>98.4</v>
      </c>
      <c r="G6" s="24">
        <v>25030032</v>
      </c>
    </row>
    <row r="7" ht="16.5" spans="1:7">
      <c r="A7" s="30" t="s">
        <v>1873</v>
      </c>
      <c r="B7" s="24">
        <v>447.2</v>
      </c>
      <c r="C7" s="28">
        <v>241.3</v>
      </c>
      <c r="D7" s="25">
        <v>4.06</v>
      </c>
      <c r="E7" s="29">
        <v>88.9</v>
      </c>
      <c r="F7" s="29">
        <v>98</v>
      </c>
      <c r="G7" s="24">
        <v>25040353</v>
      </c>
    </row>
    <row r="8" ht="16.5" spans="1:7">
      <c r="A8" s="30" t="s">
        <v>1874</v>
      </c>
      <c r="B8" s="24">
        <v>501.2</v>
      </c>
      <c r="C8" s="28">
        <v>246</v>
      </c>
      <c r="D8" s="25">
        <v>4.72</v>
      </c>
      <c r="E8" s="29">
        <v>90.1</v>
      </c>
      <c r="F8" s="29">
        <v>97.9</v>
      </c>
      <c r="G8" s="24">
        <v>25040516</v>
      </c>
    </row>
    <row r="9" ht="16.5" spans="1:7">
      <c r="A9" s="30" t="s">
        <v>1875</v>
      </c>
      <c r="B9" s="24">
        <v>764</v>
      </c>
      <c r="C9" s="28">
        <v>232.9</v>
      </c>
      <c r="D9" s="25">
        <v>5</v>
      </c>
      <c r="E9" s="29">
        <v>88.4</v>
      </c>
      <c r="F9" s="29">
        <v>97.8</v>
      </c>
      <c r="G9" s="24">
        <v>25050246</v>
      </c>
    </row>
    <row r="10" ht="16.5" spans="1:7">
      <c r="A10" s="30" t="s">
        <v>1876</v>
      </c>
      <c r="B10" s="24">
        <v>168.4</v>
      </c>
      <c r="C10" s="28">
        <v>236.2</v>
      </c>
      <c r="D10" s="25">
        <v>5.19</v>
      </c>
      <c r="E10" s="29">
        <v>86</v>
      </c>
      <c r="F10" s="29">
        <v>96.4</v>
      </c>
      <c r="G10" s="24">
        <v>25060212</v>
      </c>
    </row>
    <row r="11" ht="16.5" spans="1:7">
      <c r="A11" s="30" t="s">
        <v>1877</v>
      </c>
      <c r="B11" s="24">
        <v>390</v>
      </c>
      <c r="C11" s="28">
        <v>236</v>
      </c>
      <c r="D11" s="25">
        <v>5.11</v>
      </c>
      <c r="E11" s="29">
        <v>86.4</v>
      </c>
      <c r="F11" s="29">
        <v>96.7</v>
      </c>
      <c r="G11" s="24">
        <v>25060211</v>
      </c>
    </row>
    <row r="12" ht="16.5" spans="1:7">
      <c r="A12" s="132" t="s">
        <v>1878</v>
      </c>
      <c r="B12" s="24">
        <v>705</v>
      </c>
      <c r="C12" s="28">
        <v>230.4</v>
      </c>
      <c r="D12" s="25">
        <v>5</v>
      </c>
      <c r="E12" s="29">
        <v>80.2</v>
      </c>
      <c r="F12" s="29">
        <v>93.9</v>
      </c>
      <c r="G12" s="24">
        <v>25070040</v>
      </c>
    </row>
    <row r="13" ht="16.5" spans="1:7">
      <c r="A13" s="30" t="s">
        <v>1879</v>
      </c>
      <c r="B13" s="24">
        <v>772</v>
      </c>
      <c r="C13" s="28">
        <v>228.7</v>
      </c>
      <c r="D13" s="25">
        <v>4.89</v>
      </c>
      <c r="E13" s="29">
        <v>83.6</v>
      </c>
      <c r="F13" s="29">
        <v>95.7</v>
      </c>
      <c r="G13" s="24">
        <v>25070194</v>
      </c>
    </row>
    <row r="14" ht="16.5" spans="1:7">
      <c r="A14" s="30" t="s">
        <v>1880</v>
      </c>
      <c r="B14" s="24">
        <v>422.8</v>
      </c>
      <c r="C14" s="28">
        <v>232.2</v>
      </c>
      <c r="D14" s="25">
        <v>5.63</v>
      </c>
      <c r="E14" s="29">
        <v>74.4</v>
      </c>
      <c r="F14" s="29">
        <v>91.7</v>
      </c>
      <c r="G14" s="24">
        <v>25070212</v>
      </c>
    </row>
    <row r="15" ht="16.5" spans="1:7">
      <c r="A15" s="30" t="s">
        <v>1881</v>
      </c>
      <c r="B15" s="24">
        <v>751.6</v>
      </c>
      <c r="C15" s="28">
        <v>240.9</v>
      </c>
      <c r="D15" s="25">
        <v>3.99</v>
      </c>
      <c r="E15" s="29">
        <v>89.9</v>
      </c>
      <c r="F15" s="29">
        <v>98.5</v>
      </c>
      <c r="G15" s="24">
        <v>25070247</v>
      </c>
    </row>
    <row r="16" ht="16.5" spans="1:7">
      <c r="A16" s="30" t="s">
        <v>1882</v>
      </c>
      <c r="B16" s="24">
        <v>232.8</v>
      </c>
      <c r="C16" s="28">
        <v>244.5</v>
      </c>
      <c r="D16" s="25">
        <v>4.8</v>
      </c>
      <c r="E16" s="29">
        <v>80</v>
      </c>
      <c r="F16" s="29">
        <v>94.5</v>
      </c>
      <c r="G16" s="24">
        <v>25070348</v>
      </c>
    </row>
    <row r="17" ht="16.5" spans="1:7">
      <c r="A17" s="30" t="s">
        <v>1883</v>
      </c>
      <c r="B17" s="24">
        <v>728</v>
      </c>
      <c r="C17" s="28">
        <v>230.3</v>
      </c>
      <c r="D17" s="25">
        <v>5.11</v>
      </c>
      <c r="E17" s="29">
        <v>77.1</v>
      </c>
      <c r="F17" s="29">
        <v>93.2</v>
      </c>
      <c r="G17" s="24">
        <v>25070349</v>
      </c>
    </row>
    <row r="18" ht="16.5" spans="1:7">
      <c r="A18" s="30" t="s">
        <v>1884</v>
      </c>
      <c r="B18" s="24">
        <v>287.2</v>
      </c>
      <c r="C18" s="28">
        <v>229.1</v>
      </c>
      <c r="D18" s="25">
        <v>5.02</v>
      </c>
      <c r="E18" s="29">
        <v>76.9</v>
      </c>
      <c r="F18" s="29">
        <v>93.1</v>
      </c>
      <c r="G18" s="24">
        <v>25070350</v>
      </c>
    </row>
    <row r="19" ht="16.5" spans="1:7">
      <c r="A19" s="30" t="s">
        <v>1885</v>
      </c>
      <c r="B19" s="24">
        <v>753.2</v>
      </c>
      <c r="C19" s="28">
        <v>248.1</v>
      </c>
      <c r="D19" s="25">
        <v>4.82</v>
      </c>
      <c r="E19" s="29">
        <v>85.6</v>
      </c>
      <c r="F19" s="29">
        <v>96.8</v>
      </c>
      <c r="G19" s="24">
        <v>25080007</v>
      </c>
    </row>
    <row r="20" ht="16.5" spans="1:7">
      <c r="A20" s="30" t="s">
        <v>1886</v>
      </c>
      <c r="B20" s="24">
        <v>805.8</v>
      </c>
      <c r="C20" s="28">
        <v>232.1</v>
      </c>
      <c r="D20" s="25">
        <v>4.91</v>
      </c>
      <c r="E20" s="29">
        <v>81.6</v>
      </c>
      <c r="F20" s="29">
        <v>95.5</v>
      </c>
      <c r="G20" s="24">
        <v>25080020</v>
      </c>
    </row>
    <row r="21" ht="16.5" spans="1:7">
      <c r="A21" s="30" t="s">
        <v>1887</v>
      </c>
      <c r="B21" s="24">
        <v>291.4</v>
      </c>
      <c r="C21" s="28">
        <v>225.7</v>
      </c>
      <c r="D21" s="25">
        <v>5.11</v>
      </c>
      <c r="E21" s="29">
        <v>79.6</v>
      </c>
      <c r="F21" s="29">
        <v>94.5</v>
      </c>
      <c r="G21" s="24">
        <v>25080021</v>
      </c>
    </row>
    <row r="22" ht="16.5" spans="1:7">
      <c r="A22" s="30" t="s">
        <v>1888</v>
      </c>
      <c r="B22" s="24">
        <v>234.8</v>
      </c>
      <c r="C22" s="28">
        <v>204</v>
      </c>
      <c r="D22" s="25">
        <v>4.86</v>
      </c>
      <c r="E22" s="29">
        <v>77.5</v>
      </c>
      <c r="F22" s="29">
        <v>93.8</v>
      </c>
      <c r="G22" s="24">
        <v>25080022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5:B6 B8:B22 C3:C22"/>
  </dataValidations>
  <pageMargins left="0.75" right="0.75" top="1" bottom="1" header="0.5" footer="0.5"/>
  <pageSetup paperSize="9" orientation="portrait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J19" sqref="J19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808</v>
      </c>
      <c r="B1" s="2">
        <f>SUM(B3:B30)</f>
        <v>10242.2</v>
      </c>
      <c r="C1" s="3" cm="1">
        <f t="array" ref="C1">SUMPRODUCT(C3:C30*B3:B30)/B1</f>
        <v>236.009490148601</v>
      </c>
      <c r="D1" s="4" cm="1">
        <f t="array" ref="D1">SUMPRODUCT(B3:B30*D3:D30)/B1</f>
        <v>4.97320028900041</v>
      </c>
      <c r="E1" s="3" cm="1">
        <f t="array" ref="E1">SUMPRODUCT(B3:B30*E3:E30)/B1</f>
        <v>84.5833375641952</v>
      </c>
      <c r="F1" s="3" cm="1">
        <f t="array" ref="F1">SUMPRODUCT(B3:B30*F3:F30)/B1</f>
        <v>96.2171174161801</v>
      </c>
    </row>
    <row r="2" ht="16.5" spans="1:7">
      <c r="A2" s="52">
        <v>220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</row>
    <row r="3" ht="16.5" spans="1:7">
      <c r="A3" s="30" t="s">
        <v>1889</v>
      </c>
      <c r="B3" s="24">
        <v>198</v>
      </c>
      <c r="C3" s="28">
        <v>228.2</v>
      </c>
      <c r="D3" s="25">
        <v>6.11</v>
      </c>
      <c r="E3" s="29">
        <v>74.3</v>
      </c>
      <c r="F3" s="29">
        <v>91.2</v>
      </c>
      <c r="G3" s="24">
        <v>25010329</v>
      </c>
    </row>
    <row r="4" ht="16.5" spans="1:7">
      <c r="A4" s="30" t="s">
        <v>1890</v>
      </c>
      <c r="B4" s="24">
        <v>332.2</v>
      </c>
      <c r="C4" s="28">
        <v>246.5</v>
      </c>
      <c r="D4" s="25">
        <v>5.92</v>
      </c>
      <c r="E4" s="29">
        <v>85.9</v>
      </c>
      <c r="F4" s="29">
        <v>97</v>
      </c>
      <c r="G4" s="24">
        <v>25020390</v>
      </c>
    </row>
    <row r="5" ht="16.5" spans="1:7">
      <c r="A5" s="30" t="s">
        <v>937</v>
      </c>
      <c r="B5" s="24">
        <v>538.4</v>
      </c>
      <c r="C5" s="28">
        <v>238.2</v>
      </c>
      <c r="D5" s="25">
        <v>5.63</v>
      </c>
      <c r="E5" s="29">
        <v>85.3</v>
      </c>
      <c r="F5" s="29">
        <v>96.4</v>
      </c>
      <c r="G5" s="24">
        <v>25020456</v>
      </c>
    </row>
    <row r="6" ht="16.5" spans="1:7">
      <c r="A6" s="30" t="s">
        <v>1891</v>
      </c>
      <c r="B6" s="24">
        <v>529.2</v>
      </c>
      <c r="C6" s="28">
        <v>240.7</v>
      </c>
      <c r="D6" s="25">
        <v>5.81</v>
      </c>
      <c r="E6" s="29">
        <v>84.5</v>
      </c>
      <c r="F6" s="29">
        <v>95.4</v>
      </c>
      <c r="G6" s="24">
        <v>25020471</v>
      </c>
    </row>
    <row r="7" ht="16.5" spans="1:7">
      <c r="A7" s="30" t="s">
        <v>1892</v>
      </c>
      <c r="B7" s="24">
        <v>782.8</v>
      </c>
      <c r="C7" s="28">
        <v>249.5</v>
      </c>
      <c r="D7" s="25">
        <v>4.15</v>
      </c>
      <c r="E7" s="29">
        <v>88.4</v>
      </c>
      <c r="F7" s="29">
        <v>98.4</v>
      </c>
      <c r="G7" s="24">
        <v>25030243</v>
      </c>
    </row>
    <row r="8" ht="16.5" spans="1:7">
      <c r="A8" s="30" t="s">
        <v>931</v>
      </c>
      <c r="B8" s="24">
        <v>506.8</v>
      </c>
      <c r="C8" s="28">
        <v>239.7</v>
      </c>
      <c r="D8" s="25">
        <v>4.49</v>
      </c>
      <c r="E8" s="29">
        <v>90.2</v>
      </c>
      <c r="F8" s="29">
        <v>98.9</v>
      </c>
      <c r="G8" s="24">
        <v>25030410</v>
      </c>
    </row>
    <row r="9" ht="16.5" spans="1:7">
      <c r="A9" s="30" t="s">
        <v>935</v>
      </c>
      <c r="B9" s="24">
        <v>511.2</v>
      </c>
      <c r="C9" s="28">
        <v>243.5</v>
      </c>
      <c r="D9" s="25">
        <v>4.69</v>
      </c>
      <c r="E9" s="29">
        <v>91.4</v>
      </c>
      <c r="F9" s="29">
        <v>99.1</v>
      </c>
      <c r="G9" s="24">
        <v>25040055</v>
      </c>
    </row>
    <row r="10" ht="16.5" spans="1:7">
      <c r="A10" s="30" t="s">
        <v>1893</v>
      </c>
      <c r="B10" s="24">
        <v>495</v>
      </c>
      <c r="C10" s="28">
        <v>222.6</v>
      </c>
      <c r="D10" s="25">
        <v>5.02</v>
      </c>
      <c r="E10" s="29">
        <v>84.7</v>
      </c>
      <c r="F10" s="29">
        <v>96.3</v>
      </c>
      <c r="G10" s="24">
        <v>25040282</v>
      </c>
    </row>
    <row r="11" ht="16.5" spans="1:7">
      <c r="A11" s="30" t="s">
        <v>1894</v>
      </c>
      <c r="B11" s="24">
        <v>377.8</v>
      </c>
      <c r="C11" s="28">
        <v>215.8</v>
      </c>
      <c r="D11" s="25">
        <v>4.43</v>
      </c>
      <c r="E11" s="29">
        <v>80.9</v>
      </c>
      <c r="F11" s="29">
        <v>94.5</v>
      </c>
      <c r="G11" s="24">
        <v>25040359</v>
      </c>
    </row>
    <row r="12" ht="16.5" spans="1:7">
      <c r="A12" s="30" t="s">
        <v>1895</v>
      </c>
      <c r="B12" s="24">
        <v>331.2</v>
      </c>
      <c r="C12" s="28">
        <v>238.6</v>
      </c>
      <c r="D12" s="25">
        <v>5.24</v>
      </c>
      <c r="E12" s="29">
        <v>85.3</v>
      </c>
      <c r="F12" s="29">
        <v>96.6</v>
      </c>
      <c r="G12" s="24">
        <v>25060232</v>
      </c>
    </row>
    <row r="13" ht="16.5" spans="1:7">
      <c r="A13" s="30" t="s">
        <v>1896</v>
      </c>
      <c r="B13" s="24">
        <v>792.2</v>
      </c>
      <c r="C13" s="28">
        <v>230.7</v>
      </c>
      <c r="D13" s="25">
        <v>5.41</v>
      </c>
      <c r="E13" s="29">
        <v>76.1</v>
      </c>
      <c r="F13" s="29">
        <v>92.9</v>
      </c>
      <c r="G13" s="24">
        <v>25060247</v>
      </c>
    </row>
    <row r="14" ht="16.5" spans="1:7">
      <c r="A14" s="30" t="s">
        <v>1897</v>
      </c>
      <c r="B14" s="24">
        <v>795.4</v>
      </c>
      <c r="C14" s="28">
        <v>247.7</v>
      </c>
      <c r="D14" s="25">
        <v>4.17</v>
      </c>
      <c r="E14" s="29">
        <v>88.5</v>
      </c>
      <c r="F14" s="29">
        <v>97.6</v>
      </c>
      <c r="G14" s="24">
        <v>25070026</v>
      </c>
    </row>
    <row r="15" ht="16.5" spans="1:7">
      <c r="A15" s="30" t="s">
        <v>1898</v>
      </c>
      <c r="B15" s="24">
        <v>301</v>
      </c>
      <c r="C15" s="28">
        <v>233.7</v>
      </c>
      <c r="D15" s="25">
        <v>5.6</v>
      </c>
      <c r="E15" s="29">
        <v>74.5</v>
      </c>
      <c r="F15" s="29">
        <v>91.8</v>
      </c>
      <c r="G15" s="24">
        <v>25070213</v>
      </c>
    </row>
    <row r="16" ht="16.5" spans="1:7">
      <c r="A16" s="30" t="s">
        <v>1899</v>
      </c>
      <c r="B16" s="24">
        <v>773</v>
      </c>
      <c r="C16" s="28">
        <v>246.1</v>
      </c>
      <c r="D16" s="25">
        <v>4.26</v>
      </c>
      <c r="E16" s="29">
        <v>89.6</v>
      </c>
      <c r="F16" s="29">
        <v>98</v>
      </c>
      <c r="G16" s="24">
        <v>25070300</v>
      </c>
    </row>
    <row r="17" ht="16.5" spans="1:7">
      <c r="A17" s="30" t="s">
        <v>1900</v>
      </c>
      <c r="B17" s="24">
        <v>767.2</v>
      </c>
      <c r="C17" s="28">
        <v>231.2</v>
      </c>
      <c r="D17" s="25">
        <v>5.41</v>
      </c>
      <c r="E17" s="29">
        <v>78.7</v>
      </c>
      <c r="F17" s="29">
        <v>93.7</v>
      </c>
      <c r="G17" s="24">
        <v>25080008</v>
      </c>
    </row>
    <row r="18" ht="16.5" spans="1:7">
      <c r="A18" s="30" t="s">
        <v>1901</v>
      </c>
      <c r="B18" s="24">
        <v>290.2</v>
      </c>
      <c r="C18" s="28">
        <v>222.6</v>
      </c>
      <c r="D18" s="25">
        <v>5.52</v>
      </c>
      <c r="E18" s="29">
        <v>76.3</v>
      </c>
      <c r="F18" s="29">
        <v>92.8</v>
      </c>
      <c r="G18" s="24">
        <v>25080009</v>
      </c>
    </row>
    <row r="19" ht="16.5" spans="1:7">
      <c r="A19" s="30" t="s">
        <v>1902</v>
      </c>
      <c r="B19" s="24">
        <v>739.6</v>
      </c>
      <c r="C19" s="28">
        <v>214.2</v>
      </c>
      <c r="D19" s="25">
        <v>4.77</v>
      </c>
      <c r="E19" s="29">
        <v>83.2</v>
      </c>
      <c r="F19" s="29">
        <v>96.1</v>
      </c>
      <c r="G19" s="24">
        <v>25080035</v>
      </c>
    </row>
    <row r="20" ht="16.5" spans="1:7">
      <c r="A20" s="30" t="s">
        <v>1903</v>
      </c>
      <c r="B20" s="24">
        <v>539.4</v>
      </c>
      <c r="C20" s="28">
        <v>242.9</v>
      </c>
      <c r="D20" s="25">
        <v>4.17</v>
      </c>
      <c r="E20" s="29">
        <v>88.4</v>
      </c>
      <c r="F20" s="29">
        <v>97.7</v>
      </c>
      <c r="G20" s="24">
        <v>25080050</v>
      </c>
    </row>
    <row r="21" ht="16.5" spans="1:7">
      <c r="A21" s="23" t="s">
        <v>1904</v>
      </c>
      <c r="B21" s="14">
        <v>641.6</v>
      </c>
      <c r="C21" s="15">
        <v>235</v>
      </c>
      <c r="D21" s="16">
        <v>5.81</v>
      </c>
      <c r="E21" s="17">
        <v>87.2</v>
      </c>
      <c r="F21" s="17">
        <v>97.3</v>
      </c>
      <c r="G21" s="14">
        <v>25030083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B15 B17:B21 C3:C21"/>
  </dataValidations>
  <pageMargins left="0.75" right="0.75" top="1" bottom="1" header="0.5" footer="0.5"/>
  <pageSetup paperSize="9" orientation="portrait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I1" sqref="A$1:I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809</v>
      </c>
      <c r="B1" s="2">
        <f>SUM(B3:B30)</f>
        <v>10037.4</v>
      </c>
      <c r="C1" s="3" cm="1">
        <f t="array" ref="C1">SUMPRODUCT(C3:C30*B3:B30)/B1</f>
        <v>216.583591368283</v>
      </c>
      <c r="D1" s="4" cm="1">
        <f t="array" ref="D1">SUMPRODUCT(B3:B30*D3:D30)/B1</f>
        <v>4.96945125231634</v>
      </c>
      <c r="E1" s="3" cm="1">
        <f t="array" ref="E1">SUMPRODUCT(B3:B30*E3:E30)/B1</f>
        <v>81.7812282065076</v>
      </c>
      <c r="F1" s="3" cm="1">
        <f t="array" ref="F1">SUMPRODUCT(B3:B30*F3:F30)/B1</f>
        <v>95.0520891864427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1905</v>
      </c>
      <c r="B3" s="9">
        <v>631.2</v>
      </c>
      <c r="C3" s="10">
        <v>216.7</v>
      </c>
      <c r="D3" s="11">
        <v>4.8</v>
      </c>
      <c r="E3" s="12">
        <v>83.1</v>
      </c>
      <c r="F3" s="12">
        <v>95.8</v>
      </c>
      <c r="G3" s="9">
        <v>25080036</v>
      </c>
    </row>
    <row r="4" ht="16.5" spans="1:7">
      <c r="A4" s="39" t="s">
        <v>1906</v>
      </c>
      <c r="B4" s="9">
        <v>788.2</v>
      </c>
      <c r="C4" s="10">
        <v>216.1</v>
      </c>
      <c r="D4" s="11">
        <v>4.8</v>
      </c>
      <c r="E4" s="12">
        <v>84.3</v>
      </c>
      <c r="F4" s="12">
        <v>96.2</v>
      </c>
      <c r="G4" s="9">
        <v>25080051</v>
      </c>
    </row>
    <row r="5" ht="16.5" spans="1:7">
      <c r="A5" s="39" t="s">
        <v>1907</v>
      </c>
      <c r="B5" s="9">
        <v>481</v>
      </c>
      <c r="C5" s="10">
        <v>184.6</v>
      </c>
      <c r="D5" s="11">
        <v>5.02</v>
      </c>
      <c r="E5" s="12">
        <v>77.4</v>
      </c>
      <c r="F5" s="12">
        <v>93.2</v>
      </c>
      <c r="G5" s="9">
        <v>25080053</v>
      </c>
    </row>
    <row r="6" ht="16.5" spans="1:7">
      <c r="A6" s="39" t="s">
        <v>1908</v>
      </c>
      <c r="B6" s="9">
        <v>470.4</v>
      </c>
      <c r="C6" s="10">
        <v>186.7</v>
      </c>
      <c r="D6" s="11">
        <v>5.05</v>
      </c>
      <c r="E6" s="12">
        <v>77.2</v>
      </c>
      <c r="F6" s="12">
        <v>93</v>
      </c>
      <c r="G6" s="9">
        <v>25080054</v>
      </c>
    </row>
    <row r="7" ht="16.5" spans="1:7">
      <c r="A7" s="39" t="s">
        <v>1909</v>
      </c>
      <c r="B7" s="9">
        <v>445</v>
      </c>
      <c r="C7" s="10">
        <v>256.1</v>
      </c>
      <c r="D7" s="11">
        <v>4.52</v>
      </c>
      <c r="E7" s="12">
        <v>88.1</v>
      </c>
      <c r="F7" s="12">
        <v>97.6</v>
      </c>
      <c r="G7" s="9">
        <v>25070314</v>
      </c>
    </row>
    <row r="8" ht="16.5" spans="1:7">
      <c r="A8" s="39" t="s">
        <v>1910</v>
      </c>
      <c r="B8" s="9">
        <v>367.2</v>
      </c>
      <c r="C8" s="10">
        <v>231.6</v>
      </c>
      <c r="D8" s="11">
        <v>5.6</v>
      </c>
      <c r="E8" s="12">
        <v>83.6</v>
      </c>
      <c r="F8" s="12">
        <v>95.1</v>
      </c>
      <c r="G8" s="9">
        <v>25060112</v>
      </c>
    </row>
    <row r="9" ht="16.5" spans="1:7">
      <c r="A9" s="39" t="s">
        <v>1911</v>
      </c>
      <c r="B9" s="9">
        <v>739.4</v>
      </c>
      <c r="C9" s="10">
        <v>253.4</v>
      </c>
      <c r="D9" s="11">
        <v>4.72</v>
      </c>
      <c r="E9" s="12">
        <v>86.5</v>
      </c>
      <c r="F9" s="12">
        <v>97</v>
      </c>
      <c r="G9" s="9">
        <v>25080006</v>
      </c>
    </row>
    <row r="10" ht="16.5" spans="1:7">
      <c r="A10" s="39" t="s">
        <v>1912</v>
      </c>
      <c r="B10" s="9">
        <v>794.2</v>
      </c>
      <c r="C10" s="10">
        <v>189</v>
      </c>
      <c r="D10" s="11">
        <v>5.19</v>
      </c>
      <c r="E10" s="12">
        <v>72.3</v>
      </c>
      <c r="F10" s="12">
        <v>92.3</v>
      </c>
      <c r="G10" s="9">
        <v>25070227</v>
      </c>
    </row>
    <row r="11" ht="16.5" spans="1:7">
      <c r="A11" s="39" t="s">
        <v>1913</v>
      </c>
      <c r="B11" s="9">
        <v>623</v>
      </c>
      <c r="C11" s="10">
        <v>174.7</v>
      </c>
      <c r="D11" s="11">
        <v>4.61</v>
      </c>
      <c r="E11" s="12">
        <v>71.8</v>
      </c>
      <c r="F11" s="12">
        <v>91.4</v>
      </c>
      <c r="G11" s="9">
        <v>25080023</v>
      </c>
    </row>
    <row r="12" ht="16.5" spans="1:7">
      <c r="A12" s="39" t="s">
        <v>1914</v>
      </c>
      <c r="B12" s="9">
        <v>458.6</v>
      </c>
      <c r="C12" s="10">
        <v>242.4</v>
      </c>
      <c r="D12" s="11">
        <v>4.63</v>
      </c>
      <c r="E12" s="12">
        <v>90.4</v>
      </c>
      <c r="F12" s="12">
        <v>98.4</v>
      </c>
      <c r="G12" s="9">
        <v>25040244</v>
      </c>
    </row>
    <row r="13" ht="16.5" spans="1:7">
      <c r="A13" s="39" t="s">
        <v>1915</v>
      </c>
      <c r="B13" s="9">
        <v>728.8</v>
      </c>
      <c r="C13" s="10">
        <v>187.8</v>
      </c>
      <c r="D13" s="11">
        <v>4.75</v>
      </c>
      <c r="E13" s="12">
        <v>80.6</v>
      </c>
      <c r="F13" s="12">
        <v>93.9</v>
      </c>
      <c r="G13" s="9">
        <v>25070264</v>
      </c>
    </row>
    <row r="14" ht="16.5" spans="1:7">
      <c r="A14" s="39" t="s">
        <v>1916</v>
      </c>
      <c r="B14" s="9">
        <v>787.4</v>
      </c>
      <c r="C14" s="10">
        <v>227.6</v>
      </c>
      <c r="D14" s="11">
        <v>5.33</v>
      </c>
      <c r="E14" s="12">
        <v>78.9</v>
      </c>
      <c r="F14" s="12">
        <v>93.4</v>
      </c>
      <c r="G14" s="9">
        <v>25070028</v>
      </c>
    </row>
    <row r="15" ht="16.5" spans="1:7">
      <c r="A15" s="39" t="s">
        <v>1917</v>
      </c>
      <c r="B15" s="9">
        <v>467.2</v>
      </c>
      <c r="C15" s="10">
        <v>216.9</v>
      </c>
      <c r="D15" s="11">
        <v>4.66</v>
      </c>
      <c r="E15" s="12">
        <v>83.4</v>
      </c>
      <c r="F15" s="12">
        <v>95.6</v>
      </c>
      <c r="G15" s="9">
        <v>25070302</v>
      </c>
    </row>
    <row r="16" ht="16.5" spans="1:7">
      <c r="A16" s="39" t="s">
        <v>1918</v>
      </c>
      <c r="B16" s="9">
        <v>450.2</v>
      </c>
      <c r="C16" s="10">
        <v>256.8</v>
      </c>
      <c r="D16" s="11">
        <v>5.27</v>
      </c>
      <c r="E16" s="12">
        <v>86.9</v>
      </c>
      <c r="F16" s="12">
        <v>96.6</v>
      </c>
      <c r="G16" s="9">
        <v>25060110</v>
      </c>
    </row>
    <row r="17" ht="16.5" spans="1:7">
      <c r="A17" s="39" t="s">
        <v>1919</v>
      </c>
      <c r="B17" s="9">
        <v>470.8</v>
      </c>
      <c r="C17" s="10">
        <v>206.8</v>
      </c>
      <c r="D17" s="11">
        <v>5.84</v>
      </c>
      <c r="E17" s="12">
        <v>80.4</v>
      </c>
      <c r="F17" s="12">
        <v>94.4</v>
      </c>
      <c r="G17" s="9">
        <v>25050123</v>
      </c>
    </row>
    <row r="18" ht="16.5" spans="1:7">
      <c r="A18" s="39" t="s">
        <v>1920</v>
      </c>
      <c r="B18" s="9">
        <v>431.8</v>
      </c>
      <c r="C18" s="10">
        <v>250.4</v>
      </c>
      <c r="D18" s="11">
        <v>4.89</v>
      </c>
      <c r="E18" s="12">
        <v>83.3</v>
      </c>
      <c r="F18" s="12">
        <v>95.7</v>
      </c>
      <c r="G18" s="9">
        <v>25060246</v>
      </c>
    </row>
    <row r="19" ht="16.5" spans="1:7">
      <c r="A19" s="39" t="s">
        <v>1921</v>
      </c>
      <c r="B19" s="9">
        <v>368.6</v>
      </c>
      <c r="C19" s="10">
        <v>229.8</v>
      </c>
      <c r="D19" s="11">
        <v>4.57</v>
      </c>
      <c r="E19" s="12">
        <v>89.6</v>
      </c>
      <c r="F19" s="12">
        <v>98.6</v>
      </c>
      <c r="G19" s="9">
        <v>25060178</v>
      </c>
    </row>
    <row r="20" ht="16.5" spans="1:7">
      <c r="A20" s="39" t="s">
        <v>1922</v>
      </c>
      <c r="B20" s="9">
        <v>534.4</v>
      </c>
      <c r="C20" s="10">
        <v>206.8</v>
      </c>
      <c r="D20" s="11">
        <v>5.33</v>
      </c>
      <c r="E20" s="12">
        <v>84.5</v>
      </c>
      <c r="F20" s="12">
        <v>96.4</v>
      </c>
      <c r="G20" s="9">
        <v>25050120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5 B3:C14 B16:C20"/>
  </dataValidations>
  <pageMargins left="0.75" right="0.75" top="1" bottom="1" header="0.5" footer="0.5"/>
  <pageSetup paperSize="9" orientation="portrait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K17" sqref="K17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811</v>
      </c>
      <c r="B1" s="2">
        <f>SUM(B3:B30)</f>
        <v>11062.6</v>
      </c>
      <c r="C1" s="3" cm="1">
        <f t="array" ref="C1">SUMPRODUCT(C3:C30*B3:B30)/B1</f>
        <v>208.484923978088</v>
      </c>
      <c r="D1" s="4" cm="1">
        <f t="array" ref="D1">SUMPRODUCT(B3:B30*D3:D30)/B1</f>
        <v>4.91886012329832</v>
      </c>
      <c r="E1" s="3" cm="1">
        <f t="array" ref="E1">SUMPRODUCT(B3:B30*E3:E30)/B1</f>
        <v>81.1152911612099</v>
      </c>
      <c r="F1" s="3" cm="1">
        <f t="array" ref="F1">SUMPRODUCT(B3:B30*F3:F30)/B1</f>
        <v>94.5642019055195</v>
      </c>
    </row>
    <row r="2" ht="16.5" spans="1:7">
      <c r="A2" s="6">
        <v>180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8" t="s">
        <v>1923</v>
      </c>
      <c r="B3" s="34">
        <v>533.6</v>
      </c>
      <c r="C3" s="35">
        <v>211.3</v>
      </c>
      <c r="D3" s="36">
        <v>5.68</v>
      </c>
      <c r="E3" s="37">
        <v>78.2</v>
      </c>
      <c r="F3" s="37">
        <v>92.7</v>
      </c>
      <c r="G3" s="34">
        <v>24050079</v>
      </c>
    </row>
    <row r="4" ht="16.5" spans="1:7">
      <c r="A4" s="38" t="s">
        <v>1924</v>
      </c>
      <c r="B4" s="34">
        <v>489</v>
      </c>
      <c r="C4" s="35">
        <v>186.5</v>
      </c>
      <c r="D4" s="36">
        <v>4.43</v>
      </c>
      <c r="E4" s="37">
        <v>75.9</v>
      </c>
      <c r="F4" s="37">
        <v>93.4</v>
      </c>
      <c r="G4" s="34">
        <v>25020049</v>
      </c>
    </row>
    <row r="5" ht="16.5" spans="1:7">
      <c r="A5" s="38" t="s">
        <v>897</v>
      </c>
      <c r="B5" s="34">
        <v>515.2</v>
      </c>
      <c r="C5" s="35">
        <v>217.8</v>
      </c>
      <c r="D5" s="36">
        <v>5.27</v>
      </c>
      <c r="E5" s="37">
        <v>87.3</v>
      </c>
      <c r="F5" s="37">
        <v>97.8</v>
      </c>
      <c r="G5" s="34">
        <v>25020190</v>
      </c>
    </row>
    <row r="6" ht="16.5" spans="1:7">
      <c r="A6" s="38" t="s">
        <v>1925</v>
      </c>
      <c r="B6" s="34">
        <v>486.8</v>
      </c>
      <c r="C6" s="35">
        <v>216.8</v>
      </c>
      <c r="D6" s="36">
        <v>5.22</v>
      </c>
      <c r="E6" s="37">
        <v>80</v>
      </c>
      <c r="F6" s="37">
        <v>93.9</v>
      </c>
      <c r="G6" s="34">
        <v>25020391</v>
      </c>
    </row>
    <row r="7" ht="16.5" spans="1:7">
      <c r="A7" s="38" t="s">
        <v>1926</v>
      </c>
      <c r="B7" s="34">
        <v>505.4</v>
      </c>
      <c r="C7" s="35">
        <v>207.1</v>
      </c>
      <c r="D7" s="36">
        <v>4.55</v>
      </c>
      <c r="E7" s="37">
        <v>88.6</v>
      </c>
      <c r="F7" s="37">
        <v>98.6</v>
      </c>
      <c r="G7" s="34">
        <v>25040002</v>
      </c>
    </row>
    <row r="8" ht="16.5" spans="1:7">
      <c r="A8" s="38" t="s">
        <v>1927</v>
      </c>
      <c r="B8" s="34">
        <v>443.4</v>
      </c>
      <c r="C8" s="35">
        <v>205.9</v>
      </c>
      <c r="D8" s="36">
        <v>4.72</v>
      </c>
      <c r="E8" s="37">
        <v>89.5</v>
      </c>
      <c r="F8" s="37">
        <v>98.7</v>
      </c>
      <c r="G8" s="34">
        <v>25040093</v>
      </c>
    </row>
    <row r="9" ht="16.5" spans="1:7">
      <c r="A9" s="38" t="s">
        <v>1928</v>
      </c>
      <c r="B9" s="34">
        <v>501.4</v>
      </c>
      <c r="C9" s="35">
        <v>220</v>
      </c>
      <c r="D9" s="36">
        <v>4.46</v>
      </c>
      <c r="E9" s="37">
        <v>90.6</v>
      </c>
      <c r="F9" s="37">
        <v>98.4</v>
      </c>
      <c r="G9" s="34">
        <v>25040110</v>
      </c>
    </row>
    <row r="10" ht="16.5" spans="1:7">
      <c r="A10" s="38" t="s">
        <v>1929</v>
      </c>
      <c r="B10" s="34">
        <v>495</v>
      </c>
      <c r="C10" s="35">
        <v>219.6</v>
      </c>
      <c r="D10" s="36">
        <v>4.57</v>
      </c>
      <c r="E10" s="37">
        <v>85.7</v>
      </c>
      <c r="F10" s="37">
        <v>96.8</v>
      </c>
      <c r="G10" s="34">
        <v>25040206</v>
      </c>
    </row>
    <row r="11" ht="16.5" spans="1:7">
      <c r="A11" s="38" t="s">
        <v>1930</v>
      </c>
      <c r="B11" s="34">
        <v>725.4</v>
      </c>
      <c r="C11" s="35">
        <v>196.3</v>
      </c>
      <c r="D11" s="36">
        <v>5.08</v>
      </c>
      <c r="E11" s="37">
        <v>77.6</v>
      </c>
      <c r="F11" s="37">
        <v>93.2</v>
      </c>
      <c r="G11" s="34">
        <v>25040325</v>
      </c>
    </row>
    <row r="12" ht="16.5" spans="1:7">
      <c r="A12" s="38" t="s">
        <v>1931</v>
      </c>
      <c r="B12" s="34">
        <v>495.8</v>
      </c>
      <c r="C12" s="35">
        <v>209.6</v>
      </c>
      <c r="D12" s="36">
        <v>5.02</v>
      </c>
      <c r="E12" s="37">
        <v>86.3</v>
      </c>
      <c r="F12" s="37">
        <v>97</v>
      </c>
      <c r="G12" s="34">
        <v>25040377</v>
      </c>
    </row>
    <row r="13" ht="16.5" spans="1:7">
      <c r="A13" s="38" t="s">
        <v>1932</v>
      </c>
      <c r="B13" s="34">
        <v>498</v>
      </c>
      <c r="C13" s="35">
        <v>214.8</v>
      </c>
      <c r="D13" s="36">
        <v>4.49</v>
      </c>
      <c r="E13" s="37">
        <v>87.8</v>
      </c>
      <c r="F13" s="37">
        <v>97.8</v>
      </c>
      <c r="G13" s="34">
        <v>25050098</v>
      </c>
    </row>
    <row r="14" ht="16.5" spans="1:7">
      <c r="A14" s="38" t="s">
        <v>1933</v>
      </c>
      <c r="B14" s="34">
        <v>338</v>
      </c>
      <c r="C14" s="35">
        <v>208.1</v>
      </c>
      <c r="D14" s="36">
        <v>4.8</v>
      </c>
      <c r="E14" s="37">
        <v>86.9</v>
      </c>
      <c r="F14" s="37">
        <v>97.8</v>
      </c>
      <c r="G14" s="34">
        <v>25050118</v>
      </c>
    </row>
    <row r="15" ht="16.5" spans="1:7">
      <c r="A15" s="38" t="s">
        <v>1934</v>
      </c>
      <c r="B15" s="34">
        <v>695</v>
      </c>
      <c r="C15" s="35">
        <v>194.1</v>
      </c>
      <c r="D15" s="36">
        <v>4.97</v>
      </c>
      <c r="E15" s="37">
        <v>67.6</v>
      </c>
      <c r="F15" s="37">
        <v>88.5</v>
      </c>
      <c r="G15" s="34">
        <v>25070351</v>
      </c>
    </row>
    <row r="16" ht="16.5" spans="1:7">
      <c r="A16" s="38" t="s">
        <v>1935</v>
      </c>
      <c r="B16" s="34">
        <v>796</v>
      </c>
      <c r="C16" s="35">
        <v>208.1</v>
      </c>
      <c r="D16" s="36">
        <v>5.19</v>
      </c>
      <c r="E16" s="37">
        <v>77.1</v>
      </c>
      <c r="F16" s="37">
        <v>92.8</v>
      </c>
      <c r="G16" s="34">
        <v>25080086</v>
      </c>
    </row>
    <row r="17" ht="16.5" spans="1:7">
      <c r="A17" s="38" t="s">
        <v>1936</v>
      </c>
      <c r="B17" s="34">
        <v>477</v>
      </c>
      <c r="C17" s="35">
        <v>201.2</v>
      </c>
      <c r="D17" s="36">
        <v>5.08</v>
      </c>
      <c r="E17" s="37">
        <v>77.5</v>
      </c>
      <c r="F17" s="37">
        <v>93.3</v>
      </c>
      <c r="G17" s="34">
        <v>25080087</v>
      </c>
    </row>
    <row r="18" ht="16.5" spans="1:7">
      <c r="A18" s="38" t="s">
        <v>1937</v>
      </c>
      <c r="B18" s="34">
        <v>734.4</v>
      </c>
      <c r="C18" s="35">
        <v>199.7</v>
      </c>
      <c r="D18" s="36">
        <v>4.94</v>
      </c>
      <c r="E18" s="37">
        <v>73.9</v>
      </c>
      <c r="F18" s="37">
        <v>90.8</v>
      </c>
      <c r="G18" s="34">
        <v>25080117</v>
      </c>
    </row>
    <row r="19" ht="16.5" spans="1:7">
      <c r="A19" s="38" t="s">
        <v>1938</v>
      </c>
      <c r="B19" s="34">
        <v>806.4</v>
      </c>
      <c r="C19" s="35">
        <v>219.2</v>
      </c>
      <c r="D19" s="36">
        <v>4.41</v>
      </c>
      <c r="E19" s="37">
        <v>80.9</v>
      </c>
      <c r="F19" s="37">
        <v>93.5</v>
      </c>
      <c r="G19" s="34">
        <v>25080127</v>
      </c>
    </row>
    <row r="20" ht="16.5" spans="1:7">
      <c r="A20" s="38" t="s">
        <v>1939</v>
      </c>
      <c r="B20" s="34">
        <v>297.8</v>
      </c>
      <c r="C20" s="35">
        <v>198.4</v>
      </c>
      <c r="D20" s="36">
        <v>5</v>
      </c>
      <c r="E20" s="37">
        <v>73</v>
      </c>
      <c r="F20" s="37">
        <v>90.5</v>
      </c>
      <c r="G20" s="34">
        <v>25080118</v>
      </c>
    </row>
    <row r="21" ht="16.5" spans="1:7">
      <c r="A21" s="23" t="s">
        <v>1940</v>
      </c>
      <c r="B21" s="14">
        <v>380.2</v>
      </c>
      <c r="C21" s="15">
        <v>205</v>
      </c>
      <c r="D21" s="16">
        <v>5.41</v>
      </c>
      <c r="E21" s="17">
        <v>81.4</v>
      </c>
      <c r="F21" s="17">
        <v>94.2</v>
      </c>
      <c r="G21" s="14">
        <v>25040343</v>
      </c>
    </row>
    <row r="22" ht="16.5" spans="1:7">
      <c r="A22" s="23" t="s">
        <v>1941</v>
      </c>
      <c r="B22" s="14">
        <v>497.8</v>
      </c>
      <c r="C22" s="15">
        <v>221.2</v>
      </c>
      <c r="D22" s="16">
        <v>5.24</v>
      </c>
      <c r="E22" s="17">
        <v>84.1</v>
      </c>
      <c r="F22" s="17">
        <v>95.4</v>
      </c>
      <c r="G22" s="14">
        <v>25050179</v>
      </c>
    </row>
    <row r="23" ht="16.5" spans="1:7">
      <c r="A23" s="23" t="s">
        <v>1942</v>
      </c>
      <c r="B23" s="14">
        <v>351</v>
      </c>
      <c r="C23" s="15">
        <v>225.1</v>
      </c>
      <c r="D23" s="16">
        <v>4.82</v>
      </c>
      <c r="E23" s="17">
        <v>87.5</v>
      </c>
      <c r="F23" s="17">
        <v>97.9</v>
      </c>
      <c r="G23" s="14">
        <v>25050204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B5 B7:B11 B13:B15 B18:B23 C3:C23"/>
  </dataValidations>
  <pageMargins left="0.75" right="0.75" top="1" bottom="1" header="0.5" footer="0.5"/>
  <pageSetup paperSize="9" orientation="portrait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J1" sqref="J$1:N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812</v>
      </c>
      <c r="B1" s="2">
        <f>SUM(B3:B30)</f>
        <v>2081.6</v>
      </c>
      <c r="C1" s="3" cm="1">
        <f t="array" ref="C1">SUMPRODUCT(C3:C30*B3:B30)/B1</f>
        <v>256.299942352037</v>
      </c>
      <c r="D1" s="4" cm="1">
        <f t="array" ref="D1">SUMPRODUCT(B3:B30*D3:D30)/B1</f>
        <v>4.93391141429669</v>
      </c>
      <c r="E1" s="3" cm="1">
        <f t="array" ref="E1">SUMPRODUCT(B3:B30*E3:E30)/B1</f>
        <v>90.8698693312836</v>
      </c>
      <c r="F1" s="3" cm="1">
        <f t="array" ref="F1">SUMPRODUCT(B3:B30*F3:F30)/B1</f>
        <v>98.0317352036895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1943</v>
      </c>
      <c r="B3" s="9">
        <v>501</v>
      </c>
      <c r="C3" s="10">
        <v>254.8</v>
      </c>
      <c r="D3" s="11">
        <v>4.91</v>
      </c>
      <c r="E3" s="12">
        <v>89.6</v>
      </c>
      <c r="F3" s="12">
        <v>97.3</v>
      </c>
      <c r="G3" s="9">
        <v>24120593</v>
      </c>
    </row>
    <row r="4" ht="16.5" spans="1:7">
      <c r="A4" s="39" t="s">
        <v>1944</v>
      </c>
      <c r="B4" s="9">
        <v>409.4</v>
      </c>
      <c r="C4" s="10">
        <v>257.6</v>
      </c>
      <c r="D4" s="11">
        <v>4.86</v>
      </c>
      <c r="E4" s="12">
        <v>90</v>
      </c>
      <c r="F4" s="12">
        <v>97.2</v>
      </c>
      <c r="G4" s="9">
        <v>24120625</v>
      </c>
    </row>
    <row r="5" ht="16.5" spans="1:7">
      <c r="A5" s="75" t="s">
        <v>1945</v>
      </c>
      <c r="B5" s="9">
        <v>0</v>
      </c>
      <c r="C5" s="10">
        <v>259.7</v>
      </c>
      <c r="D5" s="11">
        <v>4.97</v>
      </c>
      <c r="E5" s="12">
        <v>90.2</v>
      </c>
      <c r="F5" s="12">
        <v>97.9</v>
      </c>
      <c r="G5" s="9">
        <v>24120624</v>
      </c>
    </row>
    <row r="6" ht="16.5" spans="1:7">
      <c r="A6" s="39" t="s">
        <v>1946</v>
      </c>
      <c r="B6" s="9">
        <v>287.6</v>
      </c>
      <c r="C6" s="10">
        <v>254.5</v>
      </c>
      <c r="D6" s="11">
        <v>4.94</v>
      </c>
      <c r="E6" s="12">
        <v>91.6</v>
      </c>
      <c r="F6" s="12">
        <v>98.7</v>
      </c>
      <c r="G6" s="9">
        <v>25010154</v>
      </c>
    </row>
    <row r="7" ht="16.5" spans="1:7">
      <c r="A7" s="39" t="s">
        <v>1947</v>
      </c>
      <c r="B7" s="9">
        <v>523.2</v>
      </c>
      <c r="C7" s="10">
        <v>250.2</v>
      </c>
      <c r="D7" s="11">
        <v>4.89</v>
      </c>
      <c r="E7" s="12">
        <v>92</v>
      </c>
      <c r="F7" s="12">
        <v>98.9</v>
      </c>
      <c r="G7" s="9">
        <v>25010320</v>
      </c>
    </row>
    <row r="8" ht="16.5" spans="1:7">
      <c r="A8" s="30" t="s">
        <v>1948</v>
      </c>
      <c r="B8" s="24">
        <v>360.4</v>
      </c>
      <c r="C8" s="28">
        <v>267.2</v>
      </c>
      <c r="D8" s="25">
        <v>5.11</v>
      </c>
      <c r="E8" s="29">
        <v>91.4</v>
      </c>
      <c r="F8" s="29">
        <v>98.2</v>
      </c>
      <c r="G8" s="24">
        <v>25010486</v>
      </c>
    </row>
    <row r="9" ht="16.5" spans="1:7">
      <c r="A9" s="23"/>
      <c r="B9" s="14"/>
      <c r="C9" s="15"/>
      <c r="D9" s="16"/>
      <c r="E9" s="17"/>
      <c r="F9" s="17"/>
      <c r="G9" s="14"/>
    </row>
    <row r="10" ht="16.5" spans="1:7">
      <c r="A10" s="23"/>
      <c r="B10" s="14"/>
      <c r="C10" s="15"/>
      <c r="D10" s="16"/>
      <c r="E10" s="17"/>
      <c r="F10" s="17"/>
      <c r="G10" s="14"/>
    </row>
  </sheetData>
  <conditionalFormatting sqref="A1:A2">
    <cfRule type="duplicateValues" dxfId="0" priority="1"/>
  </conditionalFormatting>
  <dataValidations count="1">
    <dataValidation allowBlank="1" showInputMessage="1" showErrorMessage="1" sqref="B3:C10"/>
  </dataValidations>
  <pageMargins left="0.75" right="0.75" top="1" bottom="1" header="0.5" footer="0.5"/>
  <pageSetup paperSize="9" orientation="portrait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I19" sqref="I19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813</v>
      </c>
      <c r="B1" s="2">
        <f>SUM(B3:B30)</f>
        <v>9991.2</v>
      </c>
      <c r="C1" s="3" cm="1">
        <f t="array" ref="C1">SUMPRODUCT(C3:C30*B3:B30)/B1</f>
        <v>254.919088798142</v>
      </c>
      <c r="D1" s="4" cm="1">
        <f t="array" ref="D1">SUMPRODUCT(B3:B30*D3:D30)/B1</f>
        <v>4.90032508607575</v>
      </c>
      <c r="E1" s="3" cm="1">
        <f t="array" ref="E1">SUMPRODUCT(B3:B30*E3:E30)/B1</f>
        <v>87.706323564737</v>
      </c>
      <c r="F1" s="3" cm="1">
        <f t="array" ref="F1">SUMPRODUCT(B3:B30*F3:F30)/B1</f>
        <v>96.4139582832893</v>
      </c>
      <c r="G1" s="60"/>
    </row>
    <row r="2" ht="16.5" spans="1:7">
      <c r="A2" s="52">
        <v>240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60"/>
    </row>
    <row r="3" ht="16.5" spans="1:7">
      <c r="A3" s="54" t="s">
        <v>1949</v>
      </c>
      <c r="B3" s="9">
        <v>675.6</v>
      </c>
      <c r="C3" s="10">
        <v>260.8</v>
      </c>
      <c r="D3" s="11">
        <v>5.16</v>
      </c>
      <c r="E3" s="12">
        <v>89.1</v>
      </c>
      <c r="F3" s="12">
        <v>97.6</v>
      </c>
      <c r="G3" s="9">
        <v>25060296</v>
      </c>
    </row>
    <row r="4" ht="16.5" spans="1:7">
      <c r="A4" s="54" t="s">
        <v>1950</v>
      </c>
      <c r="B4" s="9">
        <v>654.6</v>
      </c>
      <c r="C4" s="10">
        <v>265.6</v>
      </c>
      <c r="D4" s="11">
        <v>5.24</v>
      </c>
      <c r="E4" s="12">
        <v>89.9</v>
      </c>
      <c r="F4" s="12">
        <v>98</v>
      </c>
      <c r="G4" s="9">
        <v>25060295</v>
      </c>
    </row>
    <row r="5" ht="16.5" spans="1:7">
      <c r="A5" s="54" t="s">
        <v>1951</v>
      </c>
      <c r="B5" s="9">
        <v>796.6</v>
      </c>
      <c r="C5" s="10">
        <v>186.4</v>
      </c>
      <c r="D5" s="11">
        <v>4.49</v>
      </c>
      <c r="E5" s="12">
        <v>68.5</v>
      </c>
      <c r="F5" s="12">
        <v>88.3</v>
      </c>
      <c r="G5" s="9">
        <v>25070002</v>
      </c>
    </row>
    <row r="6" ht="16.5" spans="1:7">
      <c r="A6" s="54" t="s">
        <v>1952</v>
      </c>
      <c r="B6" s="9">
        <v>444.4</v>
      </c>
      <c r="C6" s="10">
        <v>298.7</v>
      </c>
      <c r="D6" s="11">
        <v>5.13</v>
      </c>
      <c r="E6" s="12">
        <v>91.4</v>
      </c>
      <c r="F6" s="12">
        <v>96.8</v>
      </c>
      <c r="G6" s="9">
        <v>24090041</v>
      </c>
    </row>
    <row r="7" ht="16.5" spans="1:7">
      <c r="A7" s="54" t="s">
        <v>1953</v>
      </c>
      <c r="B7" s="9">
        <v>232.6</v>
      </c>
      <c r="C7" s="10">
        <v>261.9</v>
      </c>
      <c r="D7" s="11">
        <v>4.63</v>
      </c>
      <c r="E7" s="12">
        <v>89.9</v>
      </c>
      <c r="F7" s="12">
        <v>97.7</v>
      </c>
      <c r="G7" s="9">
        <v>25060339</v>
      </c>
    </row>
    <row r="8" ht="16.5" spans="1:7">
      <c r="A8" s="54" t="s">
        <v>1954</v>
      </c>
      <c r="B8" s="9">
        <v>823.8</v>
      </c>
      <c r="C8" s="10">
        <v>263.4</v>
      </c>
      <c r="D8" s="11">
        <v>4.66</v>
      </c>
      <c r="E8" s="12">
        <v>89.8</v>
      </c>
      <c r="F8" s="12">
        <v>97.5</v>
      </c>
      <c r="G8" s="9">
        <v>25060340</v>
      </c>
    </row>
    <row r="9" ht="16.5" spans="1:7">
      <c r="A9" s="54" t="s">
        <v>1955</v>
      </c>
      <c r="B9" s="9">
        <v>779.2</v>
      </c>
      <c r="C9" s="10">
        <v>212.9</v>
      </c>
      <c r="D9" s="11">
        <v>5.38</v>
      </c>
      <c r="E9" s="12">
        <v>71</v>
      </c>
      <c r="F9" s="12">
        <v>88.8</v>
      </c>
      <c r="G9" s="9">
        <v>25060351</v>
      </c>
    </row>
    <row r="10" ht="16.5" spans="1:7">
      <c r="A10" s="54" t="s">
        <v>1956</v>
      </c>
      <c r="B10" s="9">
        <v>737.6</v>
      </c>
      <c r="C10" s="10">
        <v>264.7</v>
      </c>
      <c r="D10" s="11">
        <v>4.63</v>
      </c>
      <c r="E10" s="12">
        <v>89.4</v>
      </c>
      <c r="F10" s="12">
        <v>97.2</v>
      </c>
      <c r="G10" s="9">
        <v>25060341</v>
      </c>
    </row>
    <row r="11" ht="16.5" spans="1:7">
      <c r="A11" s="54" t="s">
        <v>1957</v>
      </c>
      <c r="B11" s="9">
        <v>475.8</v>
      </c>
      <c r="C11" s="10">
        <v>287.1</v>
      </c>
      <c r="D11" s="11">
        <v>5.33</v>
      </c>
      <c r="E11" s="12">
        <v>94.4</v>
      </c>
      <c r="F11" s="12">
        <v>98.6</v>
      </c>
      <c r="G11" s="9">
        <v>24090090</v>
      </c>
    </row>
    <row r="12" ht="16.5" spans="1:7">
      <c r="A12" s="19">
        <v>20250717</v>
      </c>
      <c r="B12" s="19">
        <v>2200</v>
      </c>
      <c r="C12" s="1">
        <v>246.4</v>
      </c>
      <c r="D12" s="1">
        <v>4.84</v>
      </c>
      <c r="E12" s="2">
        <v>90.8</v>
      </c>
      <c r="F12" s="2">
        <v>98.2</v>
      </c>
      <c r="G12" s="60"/>
    </row>
    <row r="13" ht="16.5" spans="1:7">
      <c r="A13" s="54" t="s">
        <v>1958</v>
      </c>
      <c r="B13" s="9">
        <v>528.6</v>
      </c>
      <c r="C13" s="10">
        <v>293.4</v>
      </c>
      <c r="D13" s="11">
        <v>4.91</v>
      </c>
      <c r="E13" s="12">
        <v>95.2</v>
      </c>
      <c r="F13" s="12">
        <v>98.8</v>
      </c>
      <c r="G13" s="9">
        <v>24090113</v>
      </c>
    </row>
    <row r="14" ht="16.5" spans="1:7">
      <c r="A14" s="54" t="s">
        <v>1959</v>
      </c>
      <c r="B14" s="9">
        <v>771.6</v>
      </c>
      <c r="C14" s="10">
        <v>257</v>
      </c>
      <c r="D14" s="11">
        <v>4.61</v>
      </c>
      <c r="E14" s="12">
        <v>88.4</v>
      </c>
      <c r="F14" s="12">
        <v>96.8</v>
      </c>
      <c r="G14" s="9">
        <v>25060344</v>
      </c>
    </row>
    <row r="15" ht="16.5" spans="1:7">
      <c r="A15" s="54" t="s">
        <v>1960</v>
      </c>
      <c r="B15" s="9">
        <v>408.4</v>
      </c>
      <c r="C15" s="10">
        <v>287.2</v>
      </c>
      <c r="D15" s="11">
        <v>4.97</v>
      </c>
      <c r="E15" s="12">
        <v>94.6</v>
      </c>
      <c r="F15" s="12">
        <v>98.7</v>
      </c>
      <c r="G15" s="9">
        <v>24090071</v>
      </c>
    </row>
    <row r="16" ht="16.5" spans="1:7">
      <c r="A16" s="54" t="s">
        <v>1961</v>
      </c>
      <c r="B16" s="9">
        <v>462.4</v>
      </c>
      <c r="C16" s="10">
        <v>275.2</v>
      </c>
      <c r="D16" s="11">
        <v>4.97</v>
      </c>
      <c r="E16" s="12">
        <v>95.3</v>
      </c>
      <c r="F16" s="12">
        <v>98.9</v>
      </c>
      <c r="G16" s="9">
        <v>24090124</v>
      </c>
    </row>
    <row r="17" ht="16.5" spans="1:7">
      <c r="A17" s="108"/>
      <c r="B17" s="109"/>
      <c r="C17" s="111"/>
      <c r="D17" s="112"/>
      <c r="E17" s="113"/>
      <c r="F17" s="113"/>
      <c r="G17" s="109"/>
    </row>
    <row r="19" ht="16.5" spans="1:7">
      <c r="A19" s="18"/>
      <c r="B19" s="14"/>
      <c r="C19" s="15"/>
      <c r="D19" s="16"/>
      <c r="E19" s="17"/>
      <c r="F19" s="17"/>
      <c r="G19" s="14"/>
    </row>
  </sheetData>
  <conditionalFormatting sqref="C12">
    <cfRule type="expression" dxfId="3" priority="6">
      <formula>#REF!&lt;#REF!</formula>
    </cfRule>
    <cfRule type="expression" dxfId="2" priority="8">
      <formula>AND(MOD(ROW(),2)=1,#REF!&lt;&gt;"")</formula>
    </cfRule>
  </conditionalFormatting>
  <conditionalFormatting sqref="D12">
    <cfRule type="expression" dxfId="4" priority="5">
      <formula>#REF!&lt;#REF!</formula>
    </cfRule>
    <cfRule type="expression" dxfId="2" priority="7">
      <formula>AND(MOD(ROW(),2)=1,#REF!&lt;&gt;"")</formula>
    </cfRule>
  </conditionalFormatting>
  <conditionalFormatting sqref="E12:F12">
    <cfRule type="expression" dxfId="2" priority="3">
      <formula>AND(MOD(ROW(),2)=1,#REF!&lt;&gt;"")</formula>
    </cfRule>
  </conditionalFormatting>
  <conditionalFormatting sqref="E12">
    <cfRule type="expression" dxfId="4" priority="2">
      <formula>#REF!&lt;#REF!</formula>
    </cfRule>
  </conditionalFormatting>
  <conditionalFormatting sqref="F12">
    <cfRule type="expression" dxfId="4" priority="1">
      <formula>#REF!&lt;#REF!</formula>
    </cfRule>
    <cfRule type="expression" dxfId="1" priority="4">
      <formula>F12:F15&lt;AL12:AL761</formula>
    </cfRule>
  </conditionalFormatting>
  <conditionalFormatting sqref="A1:A2">
    <cfRule type="duplicateValues" dxfId="0" priority="9"/>
  </conditionalFormatting>
  <dataValidations count="1">
    <dataValidation allowBlank="1" showInputMessage="1" showErrorMessage="1" sqref="C12 B19:C19 B3:C11 B13:C17"/>
  </dataValidations>
  <pageMargins left="0.75" right="0.75" top="1" bottom="1" header="0.5" footer="0.5"/>
  <pageSetup paperSize="9" orientation="portrait"/>
  <headerFooter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L20" sqref="L20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814</v>
      </c>
      <c r="B1" s="2">
        <f>SUM(B3:B30)</f>
        <v>10292</v>
      </c>
      <c r="C1" s="3" cm="1">
        <f t="array" ref="C1">SUMPRODUCT(C3:C30*B3:B30)/B1</f>
        <v>258.896492421298</v>
      </c>
      <c r="D1" s="4" cm="1">
        <f t="array" ref="D1">SUMPRODUCT(B3:B30*D3:D30)/B1</f>
        <v>4.88389564710455</v>
      </c>
      <c r="E1" s="3" cm="1">
        <f t="array" ref="E1">SUMPRODUCT(B3:B30*E3:E30)/B1</f>
        <v>88.37664788185</v>
      </c>
      <c r="F1" s="3" cm="1">
        <f t="array" ref="F1">SUMPRODUCT(B3:B30*F3:F30)/B1</f>
        <v>97.4660687912942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41" t="s">
        <v>1962</v>
      </c>
      <c r="B3" s="34">
        <v>529</v>
      </c>
      <c r="C3" s="35">
        <v>234.3</v>
      </c>
      <c r="D3" s="36">
        <v>5.87</v>
      </c>
      <c r="E3" s="37">
        <v>76.6</v>
      </c>
      <c r="F3" s="37">
        <v>90.6</v>
      </c>
      <c r="G3" s="34">
        <v>24060428</v>
      </c>
    </row>
    <row r="4" ht="16.5" spans="1:7">
      <c r="A4" s="41" t="s">
        <v>1963</v>
      </c>
      <c r="B4" s="34">
        <v>488.2</v>
      </c>
      <c r="C4" s="35">
        <v>276.4</v>
      </c>
      <c r="D4" s="36">
        <v>4.86</v>
      </c>
      <c r="E4" s="37">
        <v>92.4</v>
      </c>
      <c r="F4" s="37">
        <v>98.8</v>
      </c>
      <c r="G4" s="34">
        <v>25010483</v>
      </c>
    </row>
    <row r="5" ht="16.5" spans="1:7">
      <c r="A5" s="41" t="s">
        <v>1964</v>
      </c>
      <c r="B5" s="34">
        <v>527.6</v>
      </c>
      <c r="C5" s="35">
        <v>230.6</v>
      </c>
      <c r="D5" s="36">
        <v>6.16</v>
      </c>
      <c r="E5" s="37">
        <v>75.8</v>
      </c>
      <c r="F5" s="37">
        <v>92.5</v>
      </c>
      <c r="G5" s="34">
        <v>25020305</v>
      </c>
    </row>
    <row r="6" ht="16.5" spans="1:7">
      <c r="A6" s="41" t="s">
        <v>1965</v>
      </c>
      <c r="B6" s="34">
        <v>538.2</v>
      </c>
      <c r="C6" s="35">
        <v>249</v>
      </c>
      <c r="D6" s="36">
        <v>5.55</v>
      </c>
      <c r="E6" s="37">
        <v>90</v>
      </c>
      <c r="F6" s="37">
        <v>98</v>
      </c>
      <c r="G6" s="34">
        <v>25020385</v>
      </c>
    </row>
    <row r="7" ht="16.5" spans="1:7">
      <c r="A7" s="41" t="s">
        <v>1966</v>
      </c>
      <c r="B7" s="34">
        <v>779.2</v>
      </c>
      <c r="C7" s="35">
        <v>270.3</v>
      </c>
      <c r="D7" s="36">
        <v>4.91</v>
      </c>
      <c r="E7" s="37">
        <v>91</v>
      </c>
      <c r="F7" s="37">
        <v>98.4</v>
      </c>
      <c r="G7" s="34">
        <v>25030079</v>
      </c>
    </row>
    <row r="8" ht="16.5" spans="1:7">
      <c r="A8" s="41" t="s">
        <v>1967</v>
      </c>
      <c r="B8" s="34">
        <v>721.4</v>
      </c>
      <c r="C8" s="35">
        <v>262.2</v>
      </c>
      <c r="D8" s="36">
        <v>4.3</v>
      </c>
      <c r="E8" s="37">
        <v>90.5</v>
      </c>
      <c r="F8" s="37">
        <v>99</v>
      </c>
      <c r="G8" s="34">
        <v>25030183</v>
      </c>
    </row>
    <row r="9" ht="16.5" spans="1:7">
      <c r="A9" s="41" t="s">
        <v>1968</v>
      </c>
      <c r="B9" s="34">
        <v>466.4</v>
      </c>
      <c r="C9" s="35">
        <v>269.7</v>
      </c>
      <c r="D9" s="36">
        <v>4.23</v>
      </c>
      <c r="E9" s="37">
        <v>91.2</v>
      </c>
      <c r="F9" s="37">
        <v>98.9</v>
      </c>
      <c r="G9" s="34">
        <v>25040199</v>
      </c>
    </row>
    <row r="10" ht="16.5" spans="1:7">
      <c r="A10" s="41" t="s">
        <v>1969</v>
      </c>
      <c r="B10" s="34">
        <v>449.6</v>
      </c>
      <c r="C10" s="35">
        <v>271.2</v>
      </c>
      <c r="D10" s="36">
        <v>4.26</v>
      </c>
      <c r="E10" s="37">
        <v>85.8</v>
      </c>
      <c r="F10" s="37">
        <v>96.4</v>
      </c>
      <c r="G10" s="34">
        <v>25070116</v>
      </c>
    </row>
    <row r="11" ht="16.5" spans="1:7">
      <c r="A11" s="41" t="s">
        <v>1970</v>
      </c>
      <c r="B11" s="34">
        <v>466</v>
      </c>
      <c r="C11" s="35">
        <v>256.1</v>
      </c>
      <c r="D11" s="36">
        <v>4.32</v>
      </c>
      <c r="E11" s="37">
        <v>87.9</v>
      </c>
      <c r="F11" s="37">
        <v>97.7</v>
      </c>
      <c r="G11" s="34">
        <v>25070236</v>
      </c>
    </row>
    <row r="12" ht="16.5" spans="1:7">
      <c r="A12" s="41" t="s">
        <v>1971</v>
      </c>
      <c r="B12" s="34">
        <v>454.4</v>
      </c>
      <c r="C12" s="35">
        <v>270.1</v>
      </c>
      <c r="D12" s="36">
        <v>4.41</v>
      </c>
      <c r="E12" s="37">
        <v>89.4</v>
      </c>
      <c r="F12" s="37">
        <v>98.2</v>
      </c>
      <c r="G12" s="34">
        <v>25070313</v>
      </c>
    </row>
    <row r="13" ht="16.5" spans="1:7">
      <c r="A13" s="41" t="s">
        <v>1972</v>
      </c>
      <c r="B13" s="34">
        <v>576</v>
      </c>
      <c r="C13" s="35">
        <v>259.8</v>
      </c>
      <c r="D13" s="36">
        <v>4.34</v>
      </c>
      <c r="E13" s="37">
        <v>85.9</v>
      </c>
      <c r="F13" s="37">
        <v>97.2</v>
      </c>
      <c r="G13" s="34">
        <v>25070347</v>
      </c>
    </row>
    <row r="14" ht="16.5" spans="1:7">
      <c r="A14" s="41" t="s">
        <v>1973</v>
      </c>
      <c r="B14" s="34">
        <v>476.6</v>
      </c>
      <c r="C14" s="35">
        <v>273.2</v>
      </c>
      <c r="D14" s="36">
        <v>4.15</v>
      </c>
      <c r="E14" s="37">
        <v>89.6</v>
      </c>
      <c r="F14" s="37">
        <v>98</v>
      </c>
      <c r="G14" s="34">
        <v>25080079</v>
      </c>
    </row>
    <row r="15" ht="16.5" spans="1:7">
      <c r="A15" s="68" t="s">
        <v>1974</v>
      </c>
      <c r="B15" s="9">
        <v>210.2</v>
      </c>
      <c r="C15" s="10">
        <v>266.5</v>
      </c>
      <c r="D15" s="11">
        <v>3.82</v>
      </c>
      <c r="E15" s="12">
        <v>89</v>
      </c>
      <c r="F15" s="12">
        <v>98.1</v>
      </c>
      <c r="G15" s="34">
        <v>25080111</v>
      </c>
    </row>
    <row r="16" ht="16.5" spans="1:7">
      <c r="A16" s="23" t="s">
        <v>530</v>
      </c>
      <c r="B16" s="14">
        <v>535.4</v>
      </c>
      <c r="C16" s="15">
        <v>266.8</v>
      </c>
      <c r="D16" s="16">
        <v>5.57</v>
      </c>
      <c r="E16" s="17">
        <v>90.6</v>
      </c>
      <c r="F16" s="17">
        <v>98.3</v>
      </c>
      <c r="G16" s="14">
        <v>25020452</v>
      </c>
    </row>
    <row r="17" ht="16.5" spans="1:7">
      <c r="A17" s="23" t="s">
        <v>1975</v>
      </c>
      <c r="B17" s="14">
        <v>532</v>
      </c>
      <c r="C17" s="15">
        <v>269</v>
      </c>
      <c r="D17" s="16">
        <v>5.33</v>
      </c>
      <c r="E17" s="17">
        <v>87.9</v>
      </c>
      <c r="F17" s="17">
        <v>97.1</v>
      </c>
      <c r="G17" s="14">
        <v>25010206</v>
      </c>
    </row>
    <row r="18" ht="16.5" spans="1:7">
      <c r="A18" s="23" t="s">
        <v>1976</v>
      </c>
      <c r="B18" s="14">
        <v>541.8</v>
      </c>
      <c r="C18" s="15">
        <v>274.3</v>
      </c>
      <c r="D18" s="16">
        <v>5.35</v>
      </c>
      <c r="E18" s="17">
        <v>87.6</v>
      </c>
      <c r="F18" s="17">
        <v>96.9</v>
      </c>
      <c r="G18" s="14">
        <v>25010205</v>
      </c>
    </row>
    <row r="19" ht="16.5" spans="1:7">
      <c r="A19" s="52">
        <v>20250812</v>
      </c>
      <c r="B19" s="19">
        <v>2000</v>
      </c>
      <c r="C19" s="19">
        <v>245</v>
      </c>
      <c r="D19" s="19">
        <v>4.86</v>
      </c>
      <c r="E19" s="19">
        <v>91.5</v>
      </c>
      <c r="F19" s="19">
        <v>98.8</v>
      </c>
    </row>
    <row r="23" ht="16.5" spans="1:7">
      <c r="A23" s="23"/>
      <c r="B23" s="14"/>
      <c r="C23" s="15"/>
      <c r="D23" s="16"/>
      <c r="E23" s="17"/>
      <c r="F23" s="17"/>
      <c r="G23" s="14"/>
    </row>
    <row r="24" ht="16.5" spans="1:7">
      <c r="A24" s="23"/>
      <c r="B24" s="14"/>
      <c r="C24" s="15"/>
      <c r="D24" s="16"/>
      <c r="E24" s="17"/>
      <c r="F24" s="17"/>
      <c r="G24" s="14"/>
    </row>
    <row r="25" ht="16.5" spans="1:7">
      <c r="A25" s="23"/>
      <c r="B25" s="14"/>
      <c r="C25" s="15"/>
      <c r="D25" s="16"/>
      <c r="E25" s="17"/>
      <c r="F25" s="17"/>
      <c r="G25" s="14"/>
    </row>
  </sheetData>
  <conditionalFormatting sqref="A1:A2">
    <cfRule type="duplicateValues" dxfId="0" priority="1"/>
  </conditionalFormatting>
  <dataValidations count="1">
    <dataValidation allowBlank="1" showInputMessage="1" showErrorMessage="1" sqref="B3:B9 B11:B17 B24:B25 C3:C18 C23:C25"/>
  </dataValidations>
  <pageMargins left="0.75" right="0.75" top="1" bottom="1" header="0.5" footer="0.5"/>
  <pageSetup paperSize="9" orientation="portrait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I1" sqref="A$1:I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815</v>
      </c>
      <c r="B1" s="2">
        <f>SUM(B3:B30)</f>
        <v>10015.7</v>
      </c>
      <c r="C1" s="3" cm="1">
        <f t="array" ref="C1">SUMPRODUCT(C3:C30*B3:B30)/B1</f>
        <v>254.053517976776</v>
      </c>
      <c r="D1" s="4" cm="1">
        <f t="array" ref="D1">SUMPRODUCT(B3:B30*D3:D30)/B1</f>
        <v>4.91137304432042</v>
      </c>
      <c r="E1" s="3" cm="1">
        <f t="array" ref="E1">SUMPRODUCT(B3:B30*E3:E30)/B1</f>
        <v>86.2423654861867</v>
      </c>
      <c r="F1" s="3" cm="1">
        <f t="array" ref="F1">SUMPRODUCT(B3:B30*F3:F30)/B1</f>
        <v>96.4987559531536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144" t="s">
        <v>1977</v>
      </c>
      <c r="B3" s="34">
        <v>491</v>
      </c>
      <c r="C3" s="35">
        <v>253.9</v>
      </c>
      <c r="D3" s="36">
        <v>5.16</v>
      </c>
      <c r="E3" s="37">
        <v>92.1</v>
      </c>
      <c r="F3" s="37">
        <v>98.6</v>
      </c>
      <c r="G3" s="34">
        <v>25030313</v>
      </c>
    </row>
    <row r="4" ht="16.5" spans="1:7">
      <c r="A4" s="144" t="s">
        <v>1978</v>
      </c>
      <c r="B4" s="34">
        <v>799.4</v>
      </c>
      <c r="C4" s="35">
        <v>283.6</v>
      </c>
      <c r="D4" s="36">
        <v>4.97</v>
      </c>
      <c r="E4" s="37">
        <v>89.7</v>
      </c>
      <c r="F4" s="37">
        <v>97.8</v>
      </c>
      <c r="G4" s="34">
        <v>25030278</v>
      </c>
    </row>
    <row r="5" ht="16.5" spans="1:7">
      <c r="A5" s="144" t="s">
        <v>1979</v>
      </c>
      <c r="B5" s="9">
        <v>522.6</v>
      </c>
      <c r="C5" s="10">
        <v>263.7</v>
      </c>
      <c r="D5" s="11">
        <v>5.55</v>
      </c>
      <c r="E5" s="12">
        <v>87.1</v>
      </c>
      <c r="F5" s="12">
        <v>96.8</v>
      </c>
      <c r="G5" s="9">
        <v>25010489</v>
      </c>
    </row>
    <row r="6" ht="16.5" spans="1:7">
      <c r="A6" s="144" t="s">
        <v>1980</v>
      </c>
      <c r="B6" s="34">
        <v>316.6</v>
      </c>
      <c r="C6" s="35">
        <v>178.7</v>
      </c>
      <c r="D6" s="36">
        <v>5.11</v>
      </c>
      <c r="E6" s="37">
        <v>72.3</v>
      </c>
      <c r="F6" s="37">
        <v>90.4</v>
      </c>
      <c r="G6" s="34">
        <v>25080130</v>
      </c>
    </row>
    <row r="7" ht="16.5" spans="1:7">
      <c r="A7" s="144" t="s">
        <v>1981</v>
      </c>
      <c r="B7" s="34">
        <v>493.2</v>
      </c>
      <c r="C7" s="35">
        <v>273.7</v>
      </c>
      <c r="D7" s="36">
        <v>4.36</v>
      </c>
      <c r="E7" s="37">
        <v>89.4</v>
      </c>
      <c r="F7" s="37">
        <v>98.1</v>
      </c>
      <c r="G7" s="34">
        <v>25080080</v>
      </c>
    </row>
    <row r="8" ht="16.5" spans="1:7">
      <c r="A8" s="144" t="s">
        <v>1982</v>
      </c>
      <c r="B8" s="9">
        <v>503.6</v>
      </c>
      <c r="C8" s="10">
        <v>260.8</v>
      </c>
      <c r="D8" s="11">
        <v>5.52</v>
      </c>
      <c r="E8" s="12">
        <v>85.8</v>
      </c>
      <c r="F8" s="12">
        <v>96.1</v>
      </c>
      <c r="G8" s="9">
        <v>25010491</v>
      </c>
    </row>
    <row r="9" ht="16.5" spans="1:7">
      <c r="A9" s="144" t="s">
        <v>1983</v>
      </c>
      <c r="B9" s="34">
        <v>523.6</v>
      </c>
      <c r="C9" s="35">
        <v>207.9</v>
      </c>
      <c r="D9" s="36">
        <v>4.63</v>
      </c>
      <c r="E9" s="37">
        <v>79.4</v>
      </c>
      <c r="F9" s="37">
        <v>93.8</v>
      </c>
      <c r="G9" s="34">
        <v>25080128</v>
      </c>
    </row>
    <row r="10" ht="16.5" spans="1:7">
      <c r="A10" s="144" t="s">
        <v>1984</v>
      </c>
      <c r="B10" s="34">
        <v>743.4</v>
      </c>
      <c r="C10" s="35">
        <v>259.3</v>
      </c>
      <c r="D10" s="36">
        <v>4.11</v>
      </c>
      <c r="E10" s="37">
        <v>85</v>
      </c>
      <c r="F10" s="37">
        <v>96.1</v>
      </c>
      <c r="G10" s="34">
        <v>25080113</v>
      </c>
    </row>
    <row r="11" ht="16.5" spans="1:7">
      <c r="A11" s="144" t="s">
        <v>1985</v>
      </c>
      <c r="B11" s="9">
        <v>507.4</v>
      </c>
      <c r="C11" s="10">
        <v>262</v>
      </c>
      <c r="D11" s="11">
        <v>5.57</v>
      </c>
      <c r="E11" s="12">
        <v>86.3</v>
      </c>
      <c r="F11" s="12">
        <v>96.6</v>
      </c>
      <c r="G11" s="9">
        <v>25010490</v>
      </c>
    </row>
    <row r="12" ht="16.5" spans="1:7">
      <c r="A12" s="144" t="s">
        <v>1986</v>
      </c>
      <c r="B12" s="34">
        <v>745</v>
      </c>
      <c r="C12" s="35">
        <v>183.9</v>
      </c>
      <c r="D12" s="36">
        <v>5.08</v>
      </c>
      <c r="E12" s="37">
        <v>72.4</v>
      </c>
      <c r="F12" s="37">
        <v>90.5</v>
      </c>
      <c r="G12" s="34">
        <v>25080129</v>
      </c>
    </row>
    <row r="13" ht="16.5" spans="1:7">
      <c r="A13" s="144" t="s">
        <v>1987</v>
      </c>
      <c r="B13" s="34">
        <v>329.6</v>
      </c>
      <c r="C13" s="35">
        <v>256.9</v>
      </c>
      <c r="D13" s="36">
        <v>4.17</v>
      </c>
      <c r="E13" s="37">
        <v>84.6</v>
      </c>
      <c r="F13" s="37">
        <v>96</v>
      </c>
      <c r="G13" s="34">
        <v>25080114</v>
      </c>
    </row>
    <row r="14" ht="16.5" spans="1:7">
      <c r="A14" s="144" t="s">
        <v>1988</v>
      </c>
      <c r="B14" s="34">
        <v>507.4</v>
      </c>
      <c r="C14" s="35">
        <v>279.6</v>
      </c>
      <c r="D14" s="36">
        <v>5.11</v>
      </c>
      <c r="E14" s="37">
        <v>89.7</v>
      </c>
      <c r="F14" s="37">
        <v>98.1</v>
      </c>
      <c r="G14" s="34">
        <v>25030296</v>
      </c>
    </row>
    <row r="15" ht="16.5" spans="1:7">
      <c r="A15" s="144" t="s">
        <v>1989</v>
      </c>
      <c r="B15" s="114">
        <v>798</v>
      </c>
      <c r="C15" s="37">
        <v>258.4</v>
      </c>
      <c r="D15" s="134">
        <v>3.97</v>
      </c>
      <c r="E15" s="37">
        <v>87</v>
      </c>
      <c r="F15" s="37">
        <v>97</v>
      </c>
      <c r="G15" s="114">
        <v>25080112</v>
      </c>
    </row>
    <row r="16" ht="16.5" spans="1:7">
      <c r="A16" s="144" t="s">
        <v>1990</v>
      </c>
      <c r="B16" s="9">
        <v>539.7</v>
      </c>
      <c r="C16" s="10">
        <v>277.8</v>
      </c>
      <c r="D16" s="11">
        <v>5.35</v>
      </c>
      <c r="E16" s="12">
        <v>91.8</v>
      </c>
      <c r="F16" s="12">
        <v>98.7</v>
      </c>
      <c r="G16" s="9">
        <v>25010407</v>
      </c>
    </row>
    <row r="17" ht="16.5" spans="1:7">
      <c r="A17" s="144" t="s">
        <v>1991</v>
      </c>
      <c r="B17" s="9">
        <v>465.6</v>
      </c>
      <c r="C17" s="10">
        <v>277.7</v>
      </c>
      <c r="D17" s="11">
        <v>4.32</v>
      </c>
      <c r="E17" s="12">
        <v>89.1</v>
      </c>
      <c r="F17" s="12">
        <v>97.9</v>
      </c>
      <c r="G17" s="9">
        <v>25060089</v>
      </c>
    </row>
    <row r="18" ht="16.5" spans="1:7">
      <c r="A18" s="144" t="s">
        <v>1992</v>
      </c>
      <c r="B18" s="9">
        <v>461</v>
      </c>
      <c r="C18" s="10">
        <v>255.4</v>
      </c>
      <c r="D18" s="11">
        <v>5.6</v>
      </c>
      <c r="E18" s="12">
        <v>86.2</v>
      </c>
      <c r="F18" s="12">
        <v>96.4</v>
      </c>
      <c r="G18" s="9">
        <v>25010492</v>
      </c>
    </row>
    <row r="19" ht="16.5" spans="1:7">
      <c r="A19" s="75" t="s">
        <v>1993</v>
      </c>
      <c r="B19" s="9">
        <v>494.6</v>
      </c>
      <c r="C19" s="10">
        <v>270.5</v>
      </c>
      <c r="D19" s="11">
        <v>5.08</v>
      </c>
      <c r="E19" s="12">
        <v>89.6</v>
      </c>
      <c r="F19" s="12">
        <v>97.9</v>
      </c>
      <c r="G19" s="9">
        <v>25030297</v>
      </c>
    </row>
    <row r="20" ht="16.5" spans="1:7">
      <c r="A20" s="121" t="s">
        <v>1994</v>
      </c>
      <c r="B20" s="14">
        <v>774</v>
      </c>
      <c r="C20" s="131">
        <v>255</v>
      </c>
      <c r="D20" s="16">
        <v>5.19</v>
      </c>
      <c r="E20" s="17">
        <v>91.4</v>
      </c>
      <c r="F20" s="17">
        <v>98.7</v>
      </c>
      <c r="G20" s="14">
        <v>25030080</v>
      </c>
    </row>
  </sheetData>
  <conditionalFormatting sqref="A1:A2">
    <cfRule type="duplicateValues" dxfId="0" priority="1"/>
  </conditionalFormatting>
  <conditionalFormatting sqref="A3:A1048576">
    <cfRule type="duplicateValues" dxfId="0" priority="7"/>
  </conditionalFormatting>
  <dataValidations count="1">
    <dataValidation allowBlank="1" showInputMessage="1" showErrorMessage="1" sqref="B4:B20 C3:C19"/>
  </dataValidations>
  <pageMargins left="0.75" right="0.75" top="1" bottom="1" header="0.5" footer="0.5"/>
  <pageSetup paperSize="9" orientation="portrait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816</v>
      </c>
      <c r="B1" s="2">
        <f>SUM(B3:B30)</f>
        <v>10045.2</v>
      </c>
      <c r="C1" s="3" cm="1">
        <f t="array" ref="C1">SUMPRODUCT(C3:C30*B3:B30)/B1</f>
        <v>151.755232349779</v>
      </c>
      <c r="D1" s="4" cm="1">
        <f t="array" ref="D1">SUMPRODUCT(B3:B30*D3:D30)/B1</f>
        <v>3.81493748257874</v>
      </c>
      <c r="E1" s="3" cm="1">
        <f t="array" ref="E1">SUMPRODUCT(B3:B30*E3:E30)/B1</f>
        <v>78.4339067415283</v>
      </c>
      <c r="F1" s="3" cm="1">
        <f t="array" ref="F1">SUMPRODUCT(B3:B30*F3:F30)/B1</f>
        <v>94.3549356906781</v>
      </c>
      <c r="G1" s="3" cm="1">
        <f t="array" ref="G1">SUMPRODUCT(B3:B30*G3:G30)/B1</f>
        <v>11.6208738501971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1995</v>
      </c>
      <c r="B3" s="9">
        <v>754.6</v>
      </c>
      <c r="C3" s="10">
        <v>166.5</v>
      </c>
      <c r="D3" s="11">
        <v>4.2</v>
      </c>
      <c r="E3" s="12">
        <v>61.2</v>
      </c>
      <c r="F3" s="12">
        <v>85.3</v>
      </c>
      <c r="G3" s="11">
        <v>11.71</v>
      </c>
      <c r="H3" s="34">
        <v>25080104</v>
      </c>
    </row>
    <row r="4" ht="16.5" spans="1:8">
      <c r="A4" s="68" t="s">
        <v>1996</v>
      </c>
      <c r="B4" s="56">
        <v>751</v>
      </c>
      <c r="C4" s="12">
        <v>141.2</v>
      </c>
      <c r="D4" s="57">
        <v>3.34</v>
      </c>
      <c r="E4" s="12">
        <v>81.3</v>
      </c>
      <c r="F4" s="12">
        <v>95.8</v>
      </c>
      <c r="G4" s="134">
        <v>11.94</v>
      </c>
      <c r="H4" s="34">
        <v>25060264</v>
      </c>
    </row>
    <row r="5" ht="16.5" spans="1:8">
      <c r="A5" s="39" t="s">
        <v>1997</v>
      </c>
      <c r="B5" s="9">
        <v>275.8</v>
      </c>
      <c r="C5" s="10">
        <v>187.5</v>
      </c>
      <c r="D5" s="11">
        <v>5.05</v>
      </c>
      <c r="E5" s="12">
        <v>65.4</v>
      </c>
      <c r="F5" s="12">
        <v>87.8</v>
      </c>
      <c r="G5" s="11">
        <v>11.04</v>
      </c>
      <c r="H5" s="34">
        <v>25080071</v>
      </c>
    </row>
    <row r="6" ht="16.5" spans="1:8">
      <c r="A6" s="39" t="s">
        <v>1998</v>
      </c>
      <c r="B6" s="9">
        <v>658.4</v>
      </c>
      <c r="C6" s="10">
        <v>182.6</v>
      </c>
      <c r="D6" s="11">
        <v>5</v>
      </c>
      <c r="E6" s="12">
        <v>62.4</v>
      </c>
      <c r="F6" s="12">
        <v>86.5</v>
      </c>
      <c r="G6" s="11">
        <v>10.97</v>
      </c>
      <c r="H6" s="34">
        <v>25080072</v>
      </c>
    </row>
    <row r="7" ht="16.5" spans="1:8">
      <c r="A7" s="39" t="s">
        <v>1999</v>
      </c>
      <c r="B7" s="9">
        <v>361.6</v>
      </c>
      <c r="C7" s="10">
        <v>216.2</v>
      </c>
      <c r="D7" s="11">
        <v>4.86</v>
      </c>
      <c r="E7" s="12">
        <v>83.9</v>
      </c>
      <c r="F7" s="12">
        <v>96</v>
      </c>
      <c r="G7" s="11">
        <v>11.52</v>
      </c>
      <c r="H7" s="34">
        <v>25080052</v>
      </c>
    </row>
    <row r="8" ht="16.5" spans="1:8">
      <c r="A8" s="39" t="s">
        <v>2000</v>
      </c>
      <c r="B8" s="9">
        <v>603.4</v>
      </c>
      <c r="C8" s="10">
        <v>107.4</v>
      </c>
      <c r="D8" s="11">
        <v>3.06</v>
      </c>
      <c r="E8" s="12">
        <v>81.6</v>
      </c>
      <c r="F8" s="12">
        <v>96.4</v>
      </c>
      <c r="G8" s="11">
        <v>11.36</v>
      </c>
      <c r="H8" s="34">
        <v>25080133</v>
      </c>
    </row>
    <row r="9" ht="16.5" spans="1:8">
      <c r="A9" s="39" t="s">
        <v>2001</v>
      </c>
      <c r="B9" s="9">
        <v>503.6</v>
      </c>
      <c r="C9" s="10">
        <v>101.5</v>
      </c>
      <c r="D9" s="11">
        <v>2.96</v>
      </c>
      <c r="E9" s="12">
        <v>82.3</v>
      </c>
      <c r="F9" s="12">
        <v>96.9</v>
      </c>
      <c r="G9" s="11">
        <v>11.17</v>
      </c>
      <c r="H9" s="34">
        <v>25080135</v>
      </c>
    </row>
    <row r="10" ht="16.5" spans="1:8">
      <c r="A10" s="39" t="s">
        <v>2002</v>
      </c>
      <c r="B10" s="9">
        <v>489.6</v>
      </c>
      <c r="C10" s="10">
        <v>218.8</v>
      </c>
      <c r="D10" s="11">
        <v>5.19</v>
      </c>
      <c r="E10" s="12">
        <v>78.9</v>
      </c>
      <c r="F10" s="12">
        <v>94</v>
      </c>
      <c r="G10" s="11">
        <v>11.52</v>
      </c>
      <c r="H10" s="34">
        <v>25080068</v>
      </c>
    </row>
    <row r="11" ht="16.5" spans="1:8">
      <c r="A11" s="39" t="s">
        <v>2003</v>
      </c>
      <c r="B11" s="9">
        <v>577.6</v>
      </c>
      <c r="C11" s="10">
        <v>125.9</v>
      </c>
      <c r="D11" s="11">
        <v>3.31</v>
      </c>
      <c r="E11" s="12">
        <v>77.6</v>
      </c>
      <c r="F11" s="12">
        <v>94.2</v>
      </c>
      <c r="G11" s="11">
        <v>10.86</v>
      </c>
      <c r="H11" s="34">
        <v>25080119</v>
      </c>
    </row>
    <row r="12" ht="16.5" spans="1:8">
      <c r="A12" s="39" t="s">
        <v>2004</v>
      </c>
      <c r="B12" s="9">
        <v>390.6</v>
      </c>
      <c r="C12" s="10">
        <v>115.5</v>
      </c>
      <c r="D12" s="11">
        <v>3.24</v>
      </c>
      <c r="E12" s="12">
        <v>82.3</v>
      </c>
      <c r="F12" s="12">
        <v>97</v>
      </c>
      <c r="G12" s="11">
        <v>11.3</v>
      </c>
      <c r="H12" s="34">
        <v>25080057</v>
      </c>
    </row>
    <row r="13" ht="16.5" spans="1:8">
      <c r="A13" s="39" t="s">
        <v>2005</v>
      </c>
      <c r="B13" s="9">
        <v>653</v>
      </c>
      <c r="C13" s="10">
        <v>123.6</v>
      </c>
      <c r="D13" s="11">
        <v>3.4</v>
      </c>
      <c r="E13" s="12">
        <v>79.7</v>
      </c>
      <c r="F13" s="12">
        <v>95</v>
      </c>
      <c r="G13" s="11">
        <v>11.56</v>
      </c>
      <c r="H13" s="34">
        <v>25080132</v>
      </c>
    </row>
    <row r="14" ht="16.5" spans="1:8">
      <c r="A14" s="39" t="s">
        <v>2006</v>
      </c>
      <c r="B14" s="9">
        <v>666.2</v>
      </c>
      <c r="C14" s="10">
        <v>248.2</v>
      </c>
      <c r="D14" s="11">
        <v>4.38</v>
      </c>
      <c r="E14" s="12">
        <v>88.5</v>
      </c>
      <c r="F14" s="12">
        <v>97.7</v>
      </c>
      <c r="G14" s="11">
        <v>11.67</v>
      </c>
      <c r="H14" s="34">
        <v>25080065</v>
      </c>
    </row>
    <row r="15" ht="16.5" spans="1:8">
      <c r="A15" s="39" t="s">
        <v>2007</v>
      </c>
      <c r="B15" s="9">
        <v>527</v>
      </c>
      <c r="C15" s="10">
        <v>117.3</v>
      </c>
      <c r="D15" s="11">
        <v>3.31</v>
      </c>
      <c r="E15" s="12">
        <v>82.6</v>
      </c>
      <c r="F15" s="12">
        <v>97</v>
      </c>
      <c r="G15" s="11">
        <v>11.46</v>
      </c>
      <c r="H15" s="34">
        <v>25080058</v>
      </c>
    </row>
    <row r="16" ht="16.5" spans="1:8">
      <c r="A16" s="39" t="s">
        <v>2008</v>
      </c>
      <c r="B16" s="9">
        <v>357.6</v>
      </c>
      <c r="C16" s="10">
        <v>112.6</v>
      </c>
      <c r="D16" s="11">
        <v>3.15</v>
      </c>
      <c r="E16" s="12">
        <v>80.8</v>
      </c>
      <c r="F16" s="12">
        <v>96</v>
      </c>
      <c r="G16" s="11">
        <v>12.31</v>
      </c>
      <c r="H16" s="34">
        <v>25080092</v>
      </c>
    </row>
    <row r="17" ht="16.5" spans="1:8">
      <c r="A17" s="39" t="s">
        <v>2009</v>
      </c>
      <c r="B17" s="9">
        <v>332</v>
      </c>
      <c r="C17" s="10">
        <v>219.4</v>
      </c>
      <c r="D17" s="11">
        <v>5.22</v>
      </c>
      <c r="E17" s="12">
        <v>78.4</v>
      </c>
      <c r="F17" s="12">
        <v>93.8</v>
      </c>
      <c r="G17" s="11">
        <v>11.65</v>
      </c>
      <c r="H17" s="34">
        <v>25080069</v>
      </c>
    </row>
    <row r="18" ht="16.5" spans="1:8">
      <c r="A18" s="39" t="s">
        <v>2010</v>
      </c>
      <c r="B18" s="9">
        <v>497</v>
      </c>
      <c r="C18" s="10">
        <v>119.5</v>
      </c>
      <c r="D18" s="11">
        <v>3.18</v>
      </c>
      <c r="E18" s="12">
        <v>80.2</v>
      </c>
      <c r="F18" s="12">
        <v>96.3</v>
      </c>
      <c r="G18" s="11">
        <v>12.27</v>
      </c>
      <c r="H18" s="34">
        <v>25080039</v>
      </c>
    </row>
    <row r="19" ht="16.5" spans="1:8">
      <c r="A19" s="39" t="s">
        <v>2011</v>
      </c>
      <c r="B19" s="9">
        <v>399</v>
      </c>
      <c r="C19" s="10">
        <v>116.2</v>
      </c>
      <c r="D19" s="11">
        <v>3.12</v>
      </c>
      <c r="E19" s="12">
        <v>80.3</v>
      </c>
      <c r="F19" s="12">
        <v>96.4</v>
      </c>
      <c r="G19" s="11">
        <v>12.41</v>
      </c>
      <c r="H19" s="34">
        <v>25080041</v>
      </c>
    </row>
    <row r="20" ht="16.5" spans="1:8">
      <c r="A20" s="39" t="s">
        <v>2012</v>
      </c>
      <c r="B20" s="9">
        <v>425.4</v>
      </c>
      <c r="C20" s="10">
        <v>214.9</v>
      </c>
      <c r="D20" s="11">
        <v>5.22</v>
      </c>
      <c r="E20" s="12">
        <v>88.1</v>
      </c>
      <c r="F20" s="12">
        <v>98.1</v>
      </c>
      <c r="G20" s="11">
        <v>10.67</v>
      </c>
      <c r="H20" s="9">
        <v>25040537</v>
      </c>
    </row>
    <row r="21" ht="16.5" spans="1:8">
      <c r="A21" s="39" t="s">
        <v>2013</v>
      </c>
      <c r="B21" s="9">
        <v>821.8</v>
      </c>
      <c r="C21" s="10">
        <v>101.7</v>
      </c>
      <c r="D21" s="11">
        <v>2.87</v>
      </c>
      <c r="E21" s="12">
        <v>80.4</v>
      </c>
      <c r="F21" s="12">
        <v>95.6</v>
      </c>
      <c r="G21" s="11">
        <v>12.74</v>
      </c>
      <c r="H21" s="34">
        <v>25070281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4 B6:B9 B11:B13 B18:B21 C4:C21"/>
  </dataValidations>
  <pageMargins left="0.75" right="0.75" top="1" bottom="1" header="0.5" footer="0.5"/>
  <pageSetup paperSize="9" orientation="portrait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817</v>
      </c>
      <c r="B1" s="2">
        <f>SUM(B3:B30)</f>
        <v>9963.4</v>
      </c>
      <c r="C1" s="3" cm="1">
        <f t="array" ref="C1">SUMPRODUCT(C3:C30*B3:B30)/B1</f>
        <v>152.266244454704</v>
      </c>
      <c r="D1" s="4" cm="1">
        <f t="array" ref="D1">SUMPRODUCT(B3:B30*D3:D30)/B1</f>
        <v>3.80332637453078</v>
      </c>
      <c r="E1" s="3" cm="1">
        <f t="array" ref="E1">SUMPRODUCT(B3:B30*E3:E30)/B1</f>
        <v>77.8427886062991</v>
      </c>
      <c r="F1" s="3" cm="1">
        <f t="array" ref="F1">SUMPRODUCT(B3:B30*F3:F30)/B1</f>
        <v>94.1388883312925</v>
      </c>
      <c r="G1" s="3" cm="1">
        <f t="array" ref="G1">SUMPRODUCT(B3:B30*G3:G30)/B1</f>
        <v>11.7871704438244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9" t="s">
        <v>2014</v>
      </c>
      <c r="B3" s="9">
        <v>701.8</v>
      </c>
      <c r="C3" s="10">
        <v>184.3</v>
      </c>
      <c r="D3" s="11">
        <v>4.91</v>
      </c>
      <c r="E3" s="12">
        <v>73.9</v>
      </c>
      <c r="F3" s="12">
        <v>91.6</v>
      </c>
      <c r="G3" s="11">
        <v>12.01</v>
      </c>
      <c r="H3" s="34">
        <v>25080037</v>
      </c>
    </row>
    <row r="4" ht="16.5" spans="1:8">
      <c r="A4" s="39" t="s">
        <v>2015</v>
      </c>
      <c r="B4" s="9">
        <v>465.4</v>
      </c>
      <c r="C4" s="10">
        <v>131.2</v>
      </c>
      <c r="D4" s="11">
        <v>3.55</v>
      </c>
      <c r="E4" s="12">
        <v>81.1</v>
      </c>
      <c r="F4" s="12">
        <v>95.9</v>
      </c>
      <c r="G4" s="11">
        <v>11.79</v>
      </c>
      <c r="H4" s="34">
        <v>25080088</v>
      </c>
    </row>
    <row r="5" ht="16.5" spans="1:8">
      <c r="A5" s="39" t="s">
        <v>2016</v>
      </c>
      <c r="B5" s="9">
        <v>385.4</v>
      </c>
      <c r="C5" s="10">
        <v>180.9</v>
      </c>
      <c r="D5" s="11">
        <v>4.89</v>
      </c>
      <c r="E5" s="12">
        <v>73.7</v>
      </c>
      <c r="F5" s="12">
        <v>91.5</v>
      </c>
      <c r="G5" s="11">
        <v>11.82</v>
      </c>
      <c r="H5" s="34">
        <v>25080038</v>
      </c>
    </row>
    <row r="6" ht="16.5" spans="1:8">
      <c r="A6" s="39" t="s">
        <v>2017</v>
      </c>
      <c r="B6" s="9">
        <v>363.8</v>
      </c>
      <c r="C6" s="10">
        <v>186.7</v>
      </c>
      <c r="D6" s="11">
        <v>5.02</v>
      </c>
      <c r="E6" s="12">
        <v>65.3</v>
      </c>
      <c r="F6" s="12">
        <v>87.9</v>
      </c>
      <c r="G6" s="11">
        <v>11.17</v>
      </c>
      <c r="H6" s="34">
        <v>25080070</v>
      </c>
    </row>
    <row r="7" ht="16.5" spans="1:8">
      <c r="A7" s="68" t="s">
        <v>2018</v>
      </c>
      <c r="B7" s="9">
        <v>223.6</v>
      </c>
      <c r="C7" s="10">
        <v>213.2</v>
      </c>
      <c r="D7" s="11">
        <v>4.72</v>
      </c>
      <c r="E7" s="12">
        <v>72.6</v>
      </c>
      <c r="F7" s="12">
        <v>90.6</v>
      </c>
      <c r="G7" s="11">
        <v>11.37</v>
      </c>
      <c r="H7" s="34">
        <v>25080103</v>
      </c>
    </row>
    <row r="8" ht="16.5" spans="1:8">
      <c r="A8" s="39" t="s">
        <v>2019</v>
      </c>
      <c r="B8" s="9">
        <v>812.2</v>
      </c>
      <c r="C8" s="10">
        <v>109.9</v>
      </c>
      <c r="D8" s="11">
        <v>2.96</v>
      </c>
      <c r="E8" s="12">
        <v>81.3</v>
      </c>
      <c r="F8" s="12">
        <v>96.5</v>
      </c>
      <c r="G8" s="11">
        <v>11.7</v>
      </c>
      <c r="H8" s="9">
        <v>25070353</v>
      </c>
    </row>
    <row r="9" ht="16.5" spans="1:8">
      <c r="A9" s="39" t="s">
        <v>2020</v>
      </c>
      <c r="B9" s="9">
        <v>502.4</v>
      </c>
      <c r="C9" s="10">
        <v>112.8</v>
      </c>
      <c r="D9" s="11">
        <v>3.15</v>
      </c>
      <c r="E9" s="12">
        <v>79.9</v>
      </c>
      <c r="F9" s="12">
        <v>96</v>
      </c>
      <c r="G9" s="11">
        <v>12.63</v>
      </c>
      <c r="H9" s="34">
        <v>25080040</v>
      </c>
    </row>
    <row r="10" ht="16.5" spans="1:8">
      <c r="A10" s="39" t="s">
        <v>2021</v>
      </c>
      <c r="B10" s="9">
        <v>335.4</v>
      </c>
      <c r="C10" s="10">
        <v>216.7</v>
      </c>
      <c r="D10" s="11">
        <v>4.77</v>
      </c>
      <c r="E10" s="12">
        <v>72.4</v>
      </c>
      <c r="F10" s="12">
        <v>90.2</v>
      </c>
      <c r="G10" s="11">
        <v>11.16</v>
      </c>
      <c r="H10" s="34">
        <v>25080102</v>
      </c>
    </row>
    <row r="11" ht="16.5" spans="1:8">
      <c r="A11" s="39" t="s">
        <v>2022</v>
      </c>
      <c r="B11" s="9">
        <v>500</v>
      </c>
      <c r="C11" s="10">
        <v>100.8</v>
      </c>
      <c r="D11" s="11">
        <v>2.77</v>
      </c>
      <c r="E11" s="12">
        <v>81.6</v>
      </c>
      <c r="F11" s="12">
        <v>96.8</v>
      </c>
      <c r="G11" s="11">
        <v>12.2</v>
      </c>
      <c r="H11" s="9">
        <v>25070338</v>
      </c>
    </row>
    <row r="12" ht="16.5" spans="1:8">
      <c r="A12" s="39" t="s">
        <v>2023</v>
      </c>
      <c r="B12" s="9">
        <v>239</v>
      </c>
      <c r="C12" s="10">
        <v>232.6</v>
      </c>
      <c r="D12" s="11">
        <v>4.69</v>
      </c>
      <c r="E12" s="12">
        <v>79.2</v>
      </c>
      <c r="F12" s="12">
        <v>93.9</v>
      </c>
      <c r="G12" s="11">
        <v>11.15</v>
      </c>
      <c r="H12" s="34">
        <v>25080100</v>
      </c>
    </row>
    <row r="13" ht="16.5" spans="1:8">
      <c r="A13" s="39" t="s">
        <v>2024</v>
      </c>
      <c r="B13" s="9">
        <v>488.8</v>
      </c>
      <c r="C13" s="10">
        <v>217.9</v>
      </c>
      <c r="D13" s="11">
        <v>5.16</v>
      </c>
      <c r="E13" s="12">
        <v>79.1</v>
      </c>
      <c r="F13" s="12">
        <v>94.1</v>
      </c>
      <c r="G13" s="11">
        <v>11.92</v>
      </c>
      <c r="H13" s="34">
        <v>25080067</v>
      </c>
    </row>
    <row r="14" ht="16.5" spans="1:8">
      <c r="A14" s="39" t="s">
        <v>2025</v>
      </c>
      <c r="B14" s="9">
        <v>520.6</v>
      </c>
      <c r="C14" s="10">
        <v>116.6</v>
      </c>
      <c r="D14" s="11">
        <v>3.24</v>
      </c>
      <c r="E14" s="12">
        <v>78.7</v>
      </c>
      <c r="F14" s="12">
        <v>95.3</v>
      </c>
      <c r="G14" s="11">
        <v>11.12</v>
      </c>
      <c r="H14" s="34">
        <v>25080106</v>
      </c>
    </row>
    <row r="15" ht="16.5" spans="1:8">
      <c r="A15" s="39" t="s">
        <v>2026</v>
      </c>
      <c r="B15" s="9">
        <v>715</v>
      </c>
      <c r="C15" s="10">
        <v>115</v>
      </c>
      <c r="D15" s="11">
        <v>3.15</v>
      </c>
      <c r="E15" s="12">
        <v>81</v>
      </c>
      <c r="F15" s="12">
        <v>96</v>
      </c>
      <c r="G15" s="11">
        <v>12.16</v>
      </c>
      <c r="H15" s="34">
        <v>25080091</v>
      </c>
    </row>
    <row r="16" ht="16.5" spans="1:8">
      <c r="A16" s="39" t="s">
        <v>2027</v>
      </c>
      <c r="B16" s="9">
        <v>656.2</v>
      </c>
      <c r="C16" s="10">
        <v>228.8</v>
      </c>
      <c r="D16" s="11">
        <v>4.55</v>
      </c>
      <c r="E16" s="12">
        <v>79.3</v>
      </c>
      <c r="F16" s="12">
        <v>94</v>
      </c>
      <c r="G16" s="11">
        <v>11.96</v>
      </c>
      <c r="H16" s="34">
        <v>25080099</v>
      </c>
    </row>
    <row r="17" ht="16.5" spans="1:8">
      <c r="A17" s="39" t="s">
        <v>2028</v>
      </c>
      <c r="B17" s="9">
        <v>879.2</v>
      </c>
      <c r="C17" s="10">
        <v>102.2</v>
      </c>
      <c r="D17" s="11">
        <v>2.83</v>
      </c>
      <c r="E17" s="12">
        <v>77</v>
      </c>
      <c r="F17" s="12">
        <v>94.6</v>
      </c>
      <c r="G17" s="11">
        <v>11.75</v>
      </c>
      <c r="H17" s="34">
        <v>25080122</v>
      </c>
    </row>
    <row r="18" ht="16.5" spans="1:8">
      <c r="A18" s="39" t="s">
        <v>2029</v>
      </c>
      <c r="B18" s="9">
        <v>821.6</v>
      </c>
      <c r="C18" s="10">
        <v>125.8</v>
      </c>
      <c r="D18" s="11">
        <v>3.4</v>
      </c>
      <c r="E18" s="12">
        <v>80.6</v>
      </c>
      <c r="F18" s="12">
        <v>95.5</v>
      </c>
      <c r="G18" s="11">
        <v>11.41</v>
      </c>
      <c r="H18" s="34">
        <v>25080131</v>
      </c>
    </row>
    <row r="19" ht="16.5" spans="1:8">
      <c r="A19" s="39" t="s">
        <v>2030</v>
      </c>
      <c r="B19" s="9">
        <v>730.2</v>
      </c>
      <c r="C19" s="10">
        <v>214.8</v>
      </c>
      <c r="D19" s="11">
        <v>4.66</v>
      </c>
      <c r="E19" s="12">
        <v>73.1</v>
      </c>
      <c r="F19" s="12">
        <v>90.6</v>
      </c>
      <c r="G19" s="11">
        <v>10.97</v>
      </c>
      <c r="H19" s="34">
        <v>25080101</v>
      </c>
    </row>
    <row r="20" ht="16.5" spans="1:8">
      <c r="A20" s="39" t="s">
        <v>2031</v>
      </c>
      <c r="B20" s="9">
        <v>622.8</v>
      </c>
      <c r="C20" s="10">
        <v>107.8</v>
      </c>
      <c r="D20" s="11">
        <v>2.9</v>
      </c>
      <c r="E20" s="12">
        <v>81.1</v>
      </c>
      <c r="F20" s="12">
        <v>96.5</v>
      </c>
      <c r="G20" s="11">
        <v>13.06</v>
      </c>
      <c r="H20" s="9">
        <v>25070044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5 B14 B7:B12 B16:B20 C4:C20"/>
  </dataValidations>
  <pageMargins left="0.75" right="0.75" top="1" bottom="1" header="0.5" footer="0.5"/>
  <pageSetup paperSize="9" orientation="portrait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J1" sqref="J$1:N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818</v>
      </c>
      <c r="B1" s="2">
        <f>SUM(B3:B30)</f>
        <v>10025.2</v>
      </c>
      <c r="C1" s="3" cm="1">
        <f t="array" ref="C1">SUMPRODUCT(C3:C30*B3:B30)/B1</f>
        <v>260.361738419184</v>
      </c>
      <c r="D1" s="4" cm="1">
        <f t="array" ref="D1">SUMPRODUCT(B3:B30*D3:D30)/B1</f>
        <v>4.88176116187208</v>
      </c>
      <c r="E1" s="3" cm="1">
        <f t="array" ref="E1">SUMPRODUCT(B3:B30*E3:E30)/B1</f>
        <v>88.5823045924271</v>
      </c>
      <c r="F1" s="3" cm="1">
        <f t="array" ref="F1">SUMPRODUCT(B3:B30*F3:F30)/B1</f>
        <v>97.489426644855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2032</v>
      </c>
      <c r="B3" s="9">
        <v>204.4</v>
      </c>
      <c r="C3" s="10">
        <v>277.1</v>
      </c>
      <c r="D3" s="11">
        <v>5.16</v>
      </c>
      <c r="E3" s="12">
        <v>90</v>
      </c>
      <c r="F3" s="12">
        <v>98</v>
      </c>
      <c r="G3" s="34">
        <v>25030060</v>
      </c>
    </row>
    <row r="4" ht="16.5" spans="1:7">
      <c r="A4" s="39" t="s">
        <v>2033</v>
      </c>
      <c r="B4" s="9">
        <v>542.4</v>
      </c>
      <c r="C4" s="10">
        <v>231.1</v>
      </c>
      <c r="D4" s="11">
        <v>5.73</v>
      </c>
      <c r="E4" s="12">
        <v>79.3</v>
      </c>
      <c r="F4" s="12">
        <v>92.6</v>
      </c>
      <c r="G4" s="34">
        <v>24050451</v>
      </c>
    </row>
    <row r="5" ht="16.5" spans="1:7">
      <c r="A5" s="39" t="s">
        <v>2034</v>
      </c>
      <c r="B5" s="9">
        <v>776.4</v>
      </c>
      <c r="C5" s="10">
        <v>264.4</v>
      </c>
      <c r="D5" s="11">
        <v>3.89</v>
      </c>
      <c r="E5" s="12">
        <v>90.5</v>
      </c>
      <c r="F5" s="12">
        <v>98.4</v>
      </c>
      <c r="G5" s="34">
        <v>25080032</v>
      </c>
    </row>
    <row r="6" ht="16.5" spans="1:7">
      <c r="A6" s="39" t="s">
        <v>2035</v>
      </c>
      <c r="B6" s="9">
        <v>486.2</v>
      </c>
      <c r="C6" s="10">
        <v>232.5</v>
      </c>
      <c r="D6" s="11">
        <v>5.66</v>
      </c>
      <c r="E6" s="12">
        <v>79.1</v>
      </c>
      <c r="F6" s="12">
        <v>92.4</v>
      </c>
      <c r="G6" s="34">
        <v>24050452</v>
      </c>
    </row>
    <row r="7" ht="16.5" spans="1:7">
      <c r="A7" s="39" t="s">
        <v>2036</v>
      </c>
      <c r="B7" s="9">
        <v>793.6</v>
      </c>
      <c r="C7" s="10">
        <v>261.8</v>
      </c>
      <c r="D7" s="11">
        <v>4.11</v>
      </c>
      <c r="E7" s="12">
        <v>90.5</v>
      </c>
      <c r="F7" s="12">
        <v>98.5</v>
      </c>
      <c r="G7" s="34">
        <v>25080063</v>
      </c>
    </row>
    <row r="8" ht="16.5" spans="1:7">
      <c r="A8" s="39" t="s">
        <v>2037</v>
      </c>
      <c r="B8" s="9">
        <v>256.4</v>
      </c>
      <c r="C8" s="10">
        <v>280.5</v>
      </c>
      <c r="D8" s="11">
        <v>4.23</v>
      </c>
      <c r="E8" s="12">
        <v>89.4</v>
      </c>
      <c r="F8" s="12">
        <v>97.9</v>
      </c>
      <c r="G8" s="34">
        <v>25080078</v>
      </c>
    </row>
    <row r="9" ht="16.5" spans="1:7">
      <c r="A9" s="39" t="s">
        <v>2038</v>
      </c>
      <c r="B9" s="9">
        <v>691.4</v>
      </c>
      <c r="C9" s="10">
        <v>261.2</v>
      </c>
      <c r="D9" s="11">
        <v>3.99</v>
      </c>
      <c r="E9" s="12">
        <v>89.6</v>
      </c>
      <c r="F9" s="12">
        <v>98</v>
      </c>
      <c r="G9" s="34">
        <v>25080033</v>
      </c>
    </row>
    <row r="10" ht="16.5" spans="1:7">
      <c r="A10" s="39" t="s">
        <v>2039</v>
      </c>
      <c r="B10" s="9">
        <v>470.4</v>
      </c>
      <c r="C10" s="10">
        <v>265</v>
      </c>
      <c r="D10" s="11">
        <v>3.89</v>
      </c>
      <c r="E10" s="12">
        <v>90</v>
      </c>
      <c r="F10" s="12">
        <v>98.6</v>
      </c>
      <c r="G10" s="34">
        <v>25080047</v>
      </c>
    </row>
    <row r="11" ht="16.5" spans="1:7">
      <c r="A11" s="39" t="s">
        <v>2040</v>
      </c>
      <c r="B11" s="9">
        <v>493.2</v>
      </c>
      <c r="C11" s="10">
        <v>260.4</v>
      </c>
      <c r="D11" s="11">
        <v>5.63</v>
      </c>
      <c r="E11" s="12">
        <v>90.5</v>
      </c>
      <c r="F11" s="12">
        <v>98.5</v>
      </c>
      <c r="G11" s="34">
        <v>25020213</v>
      </c>
    </row>
    <row r="12" ht="16.5" spans="1:7">
      <c r="A12" s="39" t="s">
        <v>2041</v>
      </c>
      <c r="B12" s="9">
        <v>472</v>
      </c>
      <c r="C12" s="10">
        <v>265.5</v>
      </c>
      <c r="D12" s="11">
        <v>4.29</v>
      </c>
      <c r="E12" s="12">
        <v>89</v>
      </c>
      <c r="F12" s="12">
        <v>97.7</v>
      </c>
      <c r="G12" s="34">
        <v>25080081</v>
      </c>
    </row>
    <row r="13" ht="16.5" spans="1:7">
      <c r="A13" s="39" t="s">
        <v>2042</v>
      </c>
      <c r="B13" s="9">
        <v>533</v>
      </c>
      <c r="C13" s="10">
        <v>249.5</v>
      </c>
      <c r="D13" s="11">
        <v>5.9</v>
      </c>
      <c r="E13" s="12">
        <v>87.3</v>
      </c>
      <c r="F13" s="12">
        <v>97.4</v>
      </c>
      <c r="G13" s="34">
        <v>25020388</v>
      </c>
    </row>
    <row r="14" ht="16.5" spans="1:7">
      <c r="A14" s="39" t="s">
        <v>2043</v>
      </c>
      <c r="B14" s="9">
        <v>498.4</v>
      </c>
      <c r="C14" s="10">
        <v>272</v>
      </c>
      <c r="D14" s="11">
        <v>5</v>
      </c>
      <c r="E14" s="12">
        <v>90.1</v>
      </c>
      <c r="F14" s="12">
        <v>98.1</v>
      </c>
      <c r="G14" s="9">
        <v>25020414</v>
      </c>
    </row>
    <row r="15" ht="16.5" spans="1:7">
      <c r="A15" s="39" t="s">
        <v>2044</v>
      </c>
      <c r="B15" s="9">
        <v>425.2</v>
      </c>
      <c r="C15" s="10">
        <v>274.8</v>
      </c>
      <c r="D15" s="11">
        <v>5.24</v>
      </c>
      <c r="E15" s="12">
        <v>90.5</v>
      </c>
      <c r="F15" s="12">
        <v>98.4</v>
      </c>
      <c r="G15" s="9">
        <v>25020450</v>
      </c>
    </row>
    <row r="16" ht="16.5" spans="1:7">
      <c r="A16" s="39" t="s">
        <v>2045</v>
      </c>
      <c r="B16" s="9">
        <v>547</v>
      </c>
      <c r="C16" s="10">
        <v>261.5</v>
      </c>
      <c r="D16" s="11">
        <v>5.27</v>
      </c>
      <c r="E16" s="12">
        <v>90.4</v>
      </c>
      <c r="F16" s="12">
        <v>97.8</v>
      </c>
      <c r="G16" s="9">
        <v>25020467</v>
      </c>
    </row>
    <row r="17" ht="16.5" spans="1:7">
      <c r="A17" s="39" t="s">
        <v>2046</v>
      </c>
      <c r="B17" s="9">
        <v>323.6</v>
      </c>
      <c r="C17" s="10">
        <v>273.7</v>
      </c>
      <c r="D17" s="11">
        <v>5.19</v>
      </c>
      <c r="E17" s="12">
        <v>90.6</v>
      </c>
      <c r="F17" s="12">
        <v>98.6</v>
      </c>
      <c r="G17" s="9">
        <v>25030011</v>
      </c>
    </row>
    <row r="18" ht="16.5" spans="1:7">
      <c r="A18" s="39" t="s">
        <v>2047</v>
      </c>
      <c r="B18" s="9">
        <v>472.2</v>
      </c>
      <c r="C18" s="10">
        <v>261.5</v>
      </c>
      <c r="D18" s="11">
        <v>4.23</v>
      </c>
      <c r="E18" s="12">
        <v>89.4</v>
      </c>
      <c r="F18" s="12">
        <v>98.4</v>
      </c>
      <c r="G18" s="9">
        <v>25080003</v>
      </c>
    </row>
    <row r="19" ht="16.5" spans="1:7">
      <c r="A19" s="39" t="s">
        <v>2048</v>
      </c>
      <c r="B19" s="9">
        <v>480.8</v>
      </c>
      <c r="C19" s="10">
        <v>262.1</v>
      </c>
      <c r="D19" s="11">
        <v>4.89</v>
      </c>
      <c r="E19" s="12">
        <v>89</v>
      </c>
      <c r="F19" s="12">
        <v>97.5</v>
      </c>
      <c r="G19" s="9">
        <v>25020415</v>
      </c>
    </row>
    <row r="20" ht="16.5" spans="1:7">
      <c r="A20" s="39" t="s">
        <v>2049</v>
      </c>
      <c r="B20" s="9">
        <v>514</v>
      </c>
      <c r="C20" s="10">
        <v>278.9</v>
      </c>
      <c r="D20" s="11">
        <v>5.41</v>
      </c>
      <c r="E20" s="12">
        <v>90.1</v>
      </c>
      <c r="F20" s="12">
        <v>97.9</v>
      </c>
      <c r="G20" s="9">
        <v>25020236</v>
      </c>
    </row>
    <row r="21" ht="16.5" spans="1:7">
      <c r="A21" s="39" t="s">
        <v>2050</v>
      </c>
      <c r="B21" s="9">
        <v>510.6</v>
      </c>
      <c r="C21" s="10">
        <v>274.1</v>
      </c>
      <c r="D21" s="11">
        <v>5.27</v>
      </c>
      <c r="E21" s="12">
        <v>90</v>
      </c>
      <c r="F21" s="12">
        <v>97.6</v>
      </c>
      <c r="G21" s="9">
        <v>25020238</v>
      </c>
    </row>
    <row r="22" ht="16.5" spans="1:7">
      <c r="A22" s="23" t="s">
        <v>2051</v>
      </c>
      <c r="B22" s="14">
        <v>534</v>
      </c>
      <c r="C22" s="15">
        <v>227.3</v>
      </c>
      <c r="D22" s="16">
        <v>5.66</v>
      </c>
      <c r="E22" s="17">
        <v>86.7</v>
      </c>
      <c r="F22" s="17">
        <v>97.6</v>
      </c>
      <c r="G22" s="14">
        <v>25030374</v>
      </c>
    </row>
    <row r="23" ht="16.5" spans="1:7">
      <c r="A23" s="23" t="s">
        <v>2052</v>
      </c>
      <c r="B23" s="14">
        <v>0</v>
      </c>
      <c r="C23" s="15">
        <v>227.3</v>
      </c>
      <c r="D23" s="16">
        <v>5.84</v>
      </c>
      <c r="E23" s="17">
        <v>86.2</v>
      </c>
      <c r="F23" s="17">
        <v>97.2</v>
      </c>
      <c r="G23" s="14">
        <v>25030051</v>
      </c>
    </row>
    <row r="24" ht="16.5" spans="1:7">
      <c r="A24" s="23"/>
      <c r="B24" s="14"/>
      <c r="C24" s="15"/>
      <c r="D24" s="16"/>
      <c r="E24" s="17"/>
      <c r="F24" s="17"/>
      <c r="G24" s="14"/>
    </row>
    <row r="25" ht="16.5" spans="1:7">
      <c r="A25" s="23"/>
      <c r="B25" s="14"/>
      <c r="C25" s="15"/>
      <c r="D25" s="16"/>
      <c r="E25" s="17"/>
      <c r="F25" s="17"/>
      <c r="G25" s="14"/>
    </row>
    <row r="26" ht="16.5" spans="1:7">
      <c r="A26" s="23"/>
      <c r="B26" s="14"/>
      <c r="C26" s="15"/>
      <c r="D26" s="16"/>
      <c r="E26" s="17"/>
      <c r="F26" s="17"/>
      <c r="G26" s="14"/>
    </row>
    <row r="27" ht="16.5" spans="1:7">
      <c r="A27" s="23"/>
      <c r="B27" s="14"/>
      <c r="C27" s="15"/>
      <c r="D27" s="16"/>
      <c r="E27" s="17"/>
      <c r="F27" s="17"/>
      <c r="G27" s="14"/>
    </row>
    <row r="28" ht="16.5" spans="1:7">
      <c r="A28" s="23"/>
      <c r="B28" s="14"/>
      <c r="C28" s="15"/>
      <c r="D28" s="16"/>
      <c r="E28" s="17"/>
      <c r="F28" s="17"/>
      <c r="G28" s="14"/>
    </row>
    <row r="29" ht="16.5" spans="1:7">
      <c r="A29" s="23"/>
      <c r="B29" s="14"/>
      <c r="C29" s="15"/>
      <c r="D29" s="16"/>
      <c r="E29" s="17"/>
      <c r="F29" s="17"/>
      <c r="G29" s="14"/>
    </row>
  </sheetData>
  <conditionalFormatting sqref="A1:A2">
    <cfRule type="duplicateValues" dxfId="0" priority="1"/>
  </conditionalFormatting>
  <dataValidations count="1">
    <dataValidation allowBlank="1" showInputMessage="1" showErrorMessage="1" sqref="B3:B6 B8:B13 B15:B18 B20:B29 C3:C29"/>
  </dataValidations>
  <pageMargins left="0.75" right="0.75" top="1" bottom="1" header="0.5" footer="0.5"/>
  <pageSetup paperSize="9" orientation="portrait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819</v>
      </c>
      <c r="B1" s="2">
        <f>SUM(B3:B30)</f>
        <v>10005.6</v>
      </c>
      <c r="C1" s="3" cm="1">
        <f t="array" ref="C1">SUMPRODUCT(C3:C30*B3:B30)/B1</f>
        <v>216.840245462541</v>
      </c>
      <c r="D1" s="4" cm="1">
        <f t="array" ref="D1">SUMPRODUCT(B3:B30*D3:D30)/B1</f>
        <v>4.95613716318861</v>
      </c>
      <c r="E1" s="3" cm="1">
        <f t="array" ref="E1">SUMPRODUCT(B3:B30*E3:E30)/B1</f>
        <v>82.1963820260654</v>
      </c>
      <c r="F1" s="3" cm="1">
        <f t="array" ref="F1">SUMPRODUCT(B3:B30*F3:F30)/B1</f>
        <v>95.1016670664428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2053</v>
      </c>
      <c r="B3" s="9">
        <v>488.2</v>
      </c>
      <c r="C3" s="10">
        <v>212.6</v>
      </c>
      <c r="D3" s="11">
        <v>5.76</v>
      </c>
      <c r="E3" s="12">
        <v>81.3</v>
      </c>
      <c r="F3" s="12">
        <v>95.1</v>
      </c>
      <c r="G3" s="9">
        <v>25040541</v>
      </c>
    </row>
    <row r="4" ht="16.5" spans="1:7">
      <c r="A4" s="39" t="s">
        <v>2054</v>
      </c>
      <c r="B4" s="9">
        <v>706.2</v>
      </c>
      <c r="C4" s="10">
        <v>232.8</v>
      </c>
      <c r="D4" s="11">
        <v>4.75</v>
      </c>
      <c r="E4" s="12">
        <v>76.5</v>
      </c>
      <c r="F4" s="12">
        <v>91.9</v>
      </c>
      <c r="G4" s="9">
        <v>25080116</v>
      </c>
    </row>
    <row r="5" ht="16.5" spans="1:7">
      <c r="A5" s="39" t="s">
        <v>2055</v>
      </c>
      <c r="B5" s="9">
        <v>211</v>
      </c>
      <c r="C5" s="10">
        <v>245.6</v>
      </c>
      <c r="D5" s="11">
        <v>5.19</v>
      </c>
      <c r="E5" s="12">
        <v>84.7</v>
      </c>
      <c r="F5" s="12">
        <v>96.4</v>
      </c>
      <c r="G5" s="9">
        <v>25080085</v>
      </c>
    </row>
    <row r="6" ht="16.5" spans="1:7">
      <c r="A6" s="68" t="s">
        <v>2056</v>
      </c>
      <c r="B6" s="9">
        <v>776.2</v>
      </c>
      <c r="C6" s="10">
        <v>222.2</v>
      </c>
      <c r="D6" s="11">
        <v>4.55</v>
      </c>
      <c r="E6" s="12">
        <v>82.7</v>
      </c>
      <c r="F6" s="12">
        <v>94.7</v>
      </c>
      <c r="G6" s="9">
        <v>25070262</v>
      </c>
    </row>
    <row r="7" ht="16.5" spans="1:7">
      <c r="A7" s="39" t="s">
        <v>2057</v>
      </c>
      <c r="B7" s="9">
        <v>460.2</v>
      </c>
      <c r="C7" s="10">
        <v>220.1</v>
      </c>
      <c r="D7" s="11">
        <v>5.97</v>
      </c>
      <c r="E7" s="12">
        <v>83.5</v>
      </c>
      <c r="F7" s="12">
        <v>95.4</v>
      </c>
      <c r="G7" s="9">
        <v>25030356</v>
      </c>
    </row>
    <row r="8" ht="16.5" spans="1:7">
      <c r="A8" s="68" t="s">
        <v>2058</v>
      </c>
      <c r="B8" s="9">
        <v>788.8</v>
      </c>
      <c r="C8" s="10">
        <v>175.5</v>
      </c>
      <c r="D8" s="11">
        <v>4.34</v>
      </c>
      <c r="E8" s="12">
        <v>77.7</v>
      </c>
      <c r="F8" s="12">
        <v>93.6</v>
      </c>
      <c r="G8" s="9">
        <v>25070277</v>
      </c>
    </row>
    <row r="9" ht="16.5" spans="1:7">
      <c r="A9" s="68" t="s">
        <v>1206</v>
      </c>
      <c r="B9" s="56">
        <v>523.8</v>
      </c>
      <c r="C9" s="12">
        <v>188.3</v>
      </c>
      <c r="D9" s="57">
        <v>4.89</v>
      </c>
      <c r="E9" s="12">
        <v>79.6</v>
      </c>
      <c r="F9" s="12">
        <v>94.6</v>
      </c>
      <c r="G9" s="9">
        <v>25050236</v>
      </c>
    </row>
    <row r="10" ht="16.5" spans="1:7">
      <c r="A10" s="68" t="s">
        <v>2059</v>
      </c>
      <c r="B10" s="9">
        <v>436.8</v>
      </c>
      <c r="C10" s="10">
        <v>207.3</v>
      </c>
      <c r="D10" s="11">
        <v>5.49</v>
      </c>
      <c r="E10" s="12">
        <v>83.9</v>
      </c>
      <c r="F10" s="12">
        <v>96</v>
      </c>
      <c r="G10" s="9">
        <v>25050122</v>
      </c>
    </row>
    <row r="11" ht="16.5" spans="1:7">
      <c r="A11" s="68" t="s">
        <v>2060</v>
      </c>
      <c r="B11" s="9">
        <v>394</v>
      </c>
      <c r="C11" s="10">
        <v>224.1</v>
      </c>
      <c r="D11" s="11">
        <v>4.55</v>
      </c>
      <c r="E11" s="12">
        <v>84.3</v>
      </c>
      <c r="F11" s="12">
        <v>95.4</v>
      </c>
      <c r="G11" s="9">
        <v>25060145</v>
      </c>
    </row>
    <row r="12" ht="16.5" spans="1:7">
      <c r="A12" s="68" t="s">
        <v>1508</v>
      </c>
      <c r="B12" s="9">
        <v>281.8</v>
      </c>
      <c r="C12" s="10">
        <v>179.7</v>
      </c>
      <c r="D12" s="11">
        <v>4.72</v>
      </c>
      <c r="E12" s="12">
        <v>78.6</v>
      </c>
      <c r="F12" s="12">
        <v>94.1</v>
      </c>
      <c r="G12" s="9">
        <v>25060148</v>
      </c>
    </row>
    <row r="13" ht="16.5" spans="1:7">
      <c r="A13" s="68" t="s">
        <v>2061</v>
      </c>
      <c r="B13" s="9">
        <v>625.2</v>
      </c>
      <c r="C13" s="10">
        <v>195.5</v>
      </c>
      <c r="D13" s="11">
        <v>4.82</v>
      </c>
      <c r="E13" s="12">
        <v>78.6</v>
      </c>
      <c r="F13" s="12">
        <v>93.8</v>
      </c>
      <c r="G13" s="9">
        <v>25070041</v>
      </c>
    </row>
    <row r="14" ht="16.5" spans="1:7">
      <c r="A14" s="68" t="s">
        <v>2062</v>
      </c>
      <c r="B14" s="9">
        <v>507.8</v>
      </c>
      <c r="C14" s="10">
        <v>201.8</v>
      </c>
      <c r="D14" s="11">
        <v>5.6</v>
      </c>
      <c r="E14" s="12">
        <v>83.1</v>
      </c>
      <c r="F14" s="12">
        <v>96</v>
      </c>
      <c r="G14" s="9">
        <v>25050062</v>
      </c>
    </row>
    <row r="15" ht="16.5" spans="1:7">
      <c r="A15" s="39" t="s">
        <v>2063</v>
      </c>
      <c r="B15" s="9">
        <v>819.6</v>
      </c>
      <c r="C15" s="10">
        <v>239.6</v>
      </c>
      <c r="D15" s="11">
        <v>4.06</v>
      </c>
      <c r="E15" s="12">
        <v>86.1</v>
      </c>
      <c r="F15" s="12">
        <v>96.6</v>
      </c>
      <c r="G15" s="9">
        <v>25080098</v>
      </c>
    </row>
    <row r="16" ht="16.5" spans="1:7">
      <c r="A16" s="68" t="s">
        <v>2064</v>
      </c>
      <c r="B16" s="9">
        <v>507.2</v>
      </c>
      <c r="C16" s="10">
        <v>212.4</v>
      </c>
      <c r="D16" s="11">
        <v>5.79</v>
      </c>
      <c r="E16" s="12">
        <v>82.7</v>
      </c>
      <c r="F16" s="12">
        <v>95.7</v>
      </c>
      <c r="G16" s="9">
        <v>25040540</v>
      </c>
    </row>
    <row r="17" ht="16.5" spans="1:7">
      <c r="A17" s="39" t="s">
        <v>2065</v>
      </c>
      <c r="B17" s="9">
        <v>717</v>
      </c>
      <c r="C17" s="10">
        <v>257.7</v>
      </c>
      <c r="D17" s="11">
        <v>4.77</v>
      </c>
      <c r="E17" s="12">
        <v>80</v>
      </c>
      <c r="F17" s="12">
        <v>93.9</v>
      </c>
      <c r="G17" s="9">
        <v>25070117</v>
      </c>
    </row>
    <row r="18" ht="16.5" spans="1:7">
      <c r="A18" s="68" t="s">
        <v>2066</v>
      </c>
      <c r="B18" s="9">
        <v>505</v>
      </c>
      <c r="C18" s="10">
        <v>210.8</v>
      </c>
      <c r="D18" s="11">
        <v>5.79</v>
      </c>
      <c r="E18" s="12">
        <v>82.6</v>
      </c>
      <c r="F18" s="12">
        <v>95.7</v>
      </c>
      <c r="G18" s="9">
        <v>25040539</v>
      </c>
    </row>
    <row r="19" ht="16.5" spans="1:7">
      <c r="A19" s="39" t="s">
        <v>2067</v>
      </c>
      <c r="B19" s="9">
        <v>516</v>
      </c>
      <c r="C19" s="10">
        <v>284</v>
      </c>
      <c r="D19" s="11">
        <v>4.82</v>
      </c>
      <c r="E19" s="12">
        <v>92.8</v>
      </c>
      <c r="F19" s="12">
        <v>99</v>
      </c>
      <c r="G19" s="9">
        <v>25040052</v>
      </c>
    </row>
    <row r="20" ht="16.5" spans="1:7">
      <c r="A20" s="39" t="s">
        <v>2068</v>
      </c>
      <c r="B20" s="9">
        <v>472.2</v>
      </c>
      <c r="C20" s="10">
        <v>197</v>
      </c>
      <c r="D20" s="11">
        <v>4.89</v>
      </c>
      <c r="E20" s="12">
        <v>86.5</v>
      </c>
      <c r="F20" s="12">
        <v>97.5</v>
      </c>
      <c r="G20" s="9">
        <v>25040301</v>
      </c>
    </row>
    <row r="21" ht="16.5" spans="1:7">
      <c r="A21" s="39" t="s">
        <v>2069</v>
      </c>
      <c r="B21" s="9">
        <v>268.6</v>
      </c>
      <c r="C21" s="10">
        <v>185</v>
      </c>
      <c r="D21" s="11">
        <v>4.77</v>
      </c>
      <c r="E21" s="12">
        <v>80.3</v>
      </c>
      <c r="F21" s="12">
        <v>93.7</v>
      </c>
      <c r="G21" s="9">
        <v>25070265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4 B6:B16 B18:B21 C4:C21"/>
  </dataValidations>
  <pageMargins left="0.75" right="0.75" top="1" bottom="1" header="0.5" footer="0.5"/>
  <pageSetup paperSize="9" orientation="portrait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M19" sqref="M19:M20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820</v>
      </c>
      <c r="B1" s="2">
        <f>SUM(B3:B30)</f>
        <v>10085.4</v>
      </c>
      <c r="C1" s="3" cm="1">
        <f t="array" ref="C1">SUMPRODUCT(C3:C30*B3:B30)/B1</f>
        <v>216.011140857081</v>
      </c>
      <c r="D1" s="4" cm="1">
        <f t="array" ref="D1">SUMPRODUCT(B3:B30*D3:D30)/B1</f>
        <v>4.97458900985583</v>
      </c>
      <c r="E1" s="3" cm="1">
        <f t="array" ref="E1">SUMPRODUCT(B3:B30*E3:E30)/B1</f>
        <v>83.1394431554524</v>
      </c>
      <c r="F1" s="3" cm="1">
        <f t="array" ref="F1">SUMPRODUCT(B3:B30*F3:F30)/B1</f>
        <v>95.6421083943126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2070</v>
      </c>
      <c r="B3" s="9">
        <v>472.8</v>
      </c>
      <c r="C3" s="10">
        <v>229.3</v>
      </c>
      <c r="D3" s="11">
        <v>5.55</v>
      </c>
      <c r="E3" s="12">
        <v>83</v>
      </c>
      <c r="F3" s="12">
        <v>95.6</v>
      </c>
      <c r="G3" s="56">
        <v>25050017</v>
      </c>
    </row>
    <row r="4" ht="16.5" spans="1:7">
      <c r="A4" s="39" t="s">
        <v>2071</v>
      </c>
      <c r="B4" s="9">
        <v>482.2</v>
      </c>
      <c r="C4" s="10">
        <v>193.1</v>
      </c>
      <c r="D4" s="11">
        <v>3.46</v>
      </c>
      <c r="E4" s="12">
        <v>83.9</v>
      </c>
      <c r="F4" s="12">
        <v>96.7</v>
      </c>
      <c r="G4" s="9">
        <v>25080094</v>
      </c>
    </row>
    <row r="5" ht="16.5" spans="1:7">
      <c r="A5" s="39" t="s">
        <v>2072</v>
      </c>
      <c r="B5" s="9">
        <v>434.6</v>
      </c>
      <c r="C5" s="10">
        <v>267.9</v>
      </c>
      <c r="D5" s="11">
        <v>5</v>
      </c>
      <c r="E5" s="12">
        <v>89</v>
      </c>
      <c r="F5" s="12">
        <v>97.6</v>
      </c>
      <c r="G5" s="9">
        <v>25020357</v>
      </c>
    </row>
    <row r="6" ht="16.5" spans="1:7">
      <c r="A6" s="39" t="s">
        <v>2073</v>
      </c>
      <c r="B6" s="9">
        <v>439</v>
      </c>
      <c r="C6" s="10">
        <v>176.6</v>
      </c>
      <c r="D6" s="11">
        <v>4.49</v>
      </c>
      <c r="E6" s="12">
        <v>74.7</v>
      </c>
      <c r="F6" s="12">
        <v>92.1</v>
      </c>
      <c r="G6" s="9">
        <v>25070291</v>
      </c>
    </row>
    <row r="7" ht="16.5" spans="1:7">
      <c r="A7" s="39" t="s">
        <v>2074</v>
      </c>
      <c r="B7" s="9">
        <v>802.6</v>
      </c>
      <c r="C7" s="10">
        <v>182.2</v>
      </c>
      <c r="D7" s="11">
        <v>5.08</v>
      </c>
      <c r="E7" s="12">
        <v>78.6</v>
      </c>
      <c r="F7" s="12">
        <v>93.8</v>
      </c>
      <c r="G7" s="56">
        <v>25050222</v>
      </c>
    </row>
    <row r="8" ht="16.5" spans="1:7">
      <c r="A8" s="39" t="s">
        <v>2075</v>
      </c>
      <c r="B8" s="9">
        <v>461.6</v>
      </c>
      <c r="C8" s="10">
        <v>271.6</v>
      </c>
      <c r="D8" s="11">
        <v>5.05</v>
      </c>
      <c r="E8" s="12">
        <v>92.5</v>
      </c>
      <c r="F8" s="12">
        <v>98.8</v>
      </c>
      <c r="G8" s="56">
        <v>25020295</v>
      </c>
    </row>
    <row r="9" ht="16.5" spans="1:7">
      <c r="A9" s="39" t="s">
        <v>2076</v>
      </c>
      <c r="B9" s="9">
        <v>510.2</v>
      </c>
      <c r="C9" s="10">
        <v>197.5</v>
      </c>
      <c r="D9" s="11">
        <v>4.97</v>
      </c>
      <c r="E9" s="12">
        <v>79.1</v>
      </c>
      <c r="F9" s="12">
        <v>93.8</v>
      </c>
      <c r="G9" s="56">
        <v>25040323</v>
      </c>
    </row>
    <row r="10" ht="16.5" spans="1:7">
      <c r="A10" s="39" t="s">
        <v>2077</v>
      </c>
      <c r="B10" s="9">
        <v>444</v>
      </c>
      <c r="C10" s="10">
        <v>171</v>
      </c>
      <c r="D10" s="11">
        <v>4.49</v>
      </c>
      <c r="E10" s="12">
        <v>73.9</v>
      </c>
      <c r="F10" s="12">
        <v>91.7</v>
      </c>
      <c r="G10" s="9">
        <v>25070293</v>
      </c>
    </row>
    <row r="11" ht="16.5" spans="1:7">
      <c r="A11" s="39" t="s">
        <v>2078</v>
      </c>
      <c r="B11" s="9">
        <v>532.6</v>
      </c>
      <c r="C11" s="10">
        <v>281.1</v>
      </c>
      <c r="D11" s="11">
        <v>5.16</v>
      </c>
      <c r="E11" s="12">
        <v>92.8</v>
      </c>
      <c r="F11" s="12">
        <v>99.1</v>
      </c>
      <c r="G11" s="56">
        <v>25020293</v>
      </c>
    </row>
    <row r="12" ht="16.5" spans="1:7">
      <c r="A12" s="39" t="s">
        <v>2079</v>
      </c>
      <c r="B12" s="9">
        <v>455.6</v>
      </c>
      <c r="C12" s="10">
        <v>189.3</v>
      </c>
      <c r="D12" s="11">
        <v>4.77</v>
      </c>
      <c r="E12" s="12">
        <v>85</v>
      </c>
      <c r="F12" s="12">
        <v>97.1</v>
      </c>
      <c r="G12" s="56">
        <v>25040098</v>
      </c>
    </row>
    <row r="13" ht="16.5" spans="1:7">
      <c r="A13" s="39" t="s">
        <v>2080</v>
      </c>
      <c r="B13" s="9">
        <v>535.4</v>
      </c>
      <c r="C13" s="10">
        <v>180.5</v>
      </c>
      <c r="D13" s="11">
        <v>4.29</v>
      </c>
      <c r="E13" s="12">
        <v>76.9</v>
      </c>
      <c r="F13" s="12">
        <v>92.8</v>
      </c>
      <c r="G13" s="9">
        <v>25070070</v>
      </c>
    </row>
    <row r="14" ht="16.5" spans="1:7">
      <c r="A14" s="39" t="s">
        <v>2081</v>
      </c>
      <c r="B14" s="9">
        <v>492.2</v>
      </c>
      <c r="C14" s="10">
        <v>259.4</v>
      </c>
      <c r="D14" s="11">
        <v>5.52</v>
      </c>
      <c r="E14" s="12">
        <v>90</v>
      </c>
      <c r="F14" s="12">
        <v>98.4</v>
      </c>
      <c r="G14" s="9">
        <v>25010388</v>
      </c>
    </row>
    <row r="15" ht="16.5" spans="1:7">
      <c r="A15" s="39" t="s">
        <v>2082</v>
      </c>
      <c r="B15" s="9">
        <v>473.8</v>
      </c>
      <c r="C15" s="10">
        <v>186.9</v>
      </c>
      <c r="D15" s="11">
        <v>4.61</v>
      </c>
      <c r="E15" s="12">
        <v>78.1</v>
      </c>
      <c r="F15" s="12">
        <v>93.4</v>
      </c>
      <c r="G15" s="56">
        <v>25040284</v>
      </c>
    </row>
    <row r="16" ht="16.5" spans="1:7">
      <c r="A16" s="39" t="s">
        <v>2083</v>
      </c>
      <c r="B16" s="9">
        <v>494.4</v>
      </c>
      <c r="C16" s="10">
        <v>274.2</v>
      </c>
      <c r="D16" s="11">
        <v>5.49</v>
      </c>
      <c r="E16" s="12">
        <v>90.9</v>
      </c>
      <c r="F16" s="12">
        <v>98.8</v>
      </c>
      <c r="G16" s="9">
        <v>25010236</v>
      </c>
    </row>
    <row r="17" ht="16.5" spans="1:7">
      <c r="A17" s="39" t="s">
        <v>2084</v>
      </c>
      <c r="B17" s="9">
        <v>505.4</v>
      </c>
      <c r="C17" s="10">
        <v>173.9</v>
      </c>
      <c r="D17" s="11">
        <v>4.75</v>
      </c>
      <c r="E17" s="12">
        <v>76.9</v>
      </c>
      <c r="F17" s="12">
        <v>93.7</v>
      </c>
      <c r="G17" s="56">
        <v>25050063</v>
      </c>
    </row>
    <row r="18" ht="16.5" spans="1:7">
      <c r="A18" s="39" t="s">
        <v>2085</v>
      </c>
      <c r="B18" s="9">
        <v>499.4</v>
      </c>
      <c r="C18" s="10">
        <v>270.8</v>
      </c>
      <c r="D18" s="11">
        <v>5</v>
      </c>
      <c r="E18" s="12">
        <v>89.3</v>
      </c>
      <c r="F18" s="12">
        <v>98</v>
      </c>
      <c r="G18" s="9">
        <v>25020356</v>
      </c>
    </row>
    <row r="19" ht="16.5" spans="1:7">
      <c r="A19" s="39" t="s">
        <v>2086</v>
      </c>
      <c r="B19" s="9">
        <v>439.4</v>
      </c>
      <c r="C19" s="10">
        <v>184.7</v>
      </c>
      <c r="D19" s="11">
        <v>5.33</v>
      </c>
      <c r="E19" s="12">
        <v>78.3</v>
      </c>
      <c r="F19" s="12">
        <v>94.8</v>
      </c>
      <c r="G19" s="56">
        <v>25030438</v>
      </c>
    </row>
    <row r="20" ht="16.5" spans="1:7">
      <c r="A20" s="39" t="s">
        <v>2087</v>
      </c>
      <c r="B20" s="9">
        <v>461.4</v>
      </c>
      <c r="C20" s="10">
        <v>213.4</v>
      </c>
      <c r="D20" s="11">
        <v>5.24</v>
      </c>
      <c r="E20" s="12">
        <v>84.7</v>
      </c>
      <c r="F20" s="12">
        <v>96.5</v>
      </c>
      <c r="G20" s="9">
        <v>25020131</v>
      </c>
    </row>
    <row r="21" ht="16.5" spans="1:7">
      <c r="A21" s="39" t="s">
        <v>2088</v>
      </c>
      <c r="B21" s="9">
        <v>486.6</v>
      </c>
      <c r="C21" s="10">
        <v>199.6</v>
      </c>
      <c r="D21" s="11">
        <v>4.97</v>
      </c>
      <c r="E21" s="12">
        <v>79.3</v>
      </c>
      <c r="F21" s="12">
        <v>93.9</v>
      </c>
      <c r="G21" s="56">
        <v>25040324</v>
      </c>
    </row>
    <row r="22" ht="16.5" spans="1:7">
      <c r="A22" s="23" t="s">
        <v>2089</v>
      </c>
      <c r="B22" s="14">
        <v>283.2</v>
      </c>
      <c r="C22" s="15">
        <v>226.9</v>
      </c>
      <c r="D22" s="16">
        <v>5.87</v>
      </c>
      <c r="E22" s="17">
        <v>86.2</v>
      </c>
      <c r="F22" s="17">
        <v>96.6</v>
      </c>
      <c r="G22" s="14">
        <v>25030084</v>
      </c>
    </row>
    <row r="23" ht="16.5" spans="1:7">
      <c r="A23" s="23" t="s">
        <v>2090</v>
      </c>
      <c r="B23" s="14">
        <v>379</v>
      </c>
      <c r="C23" s="15">
        <v>227.6</v>
      </c>
      <c r="D23" s="16">
        <v>5.87</v>
      </c>
      <c r="E23" s="17">
        <v>86.7</v>
      </c>
      <c r="F23" s="17">
        <v>96.8</v>
      </c>
      <c r="G23" s="14">
        <v>25030085</v>
      </c>
    </row>
    <row r="24" ht="16.5" spans="1:7">
      <c r="A24" s="23"/>
      <c r="B24" s="14"/>
      <c r="C24" s="15"/>
      <c r="D24" s="16"/>
      <c r="E24" s="17"/>
      <c r="F24" s="17"/>
      <c r="G24" s="14"/>
    </row>
    <row r="25" ht="16.5" spans="1:7">
      <c r="A25" s="23"/>
      <c r="B25" s="14"/>
      <c r="C25" s="15"/>
      <c r="D25" s="16"/>
      <c r="E25" s="17"/>
      <c r="F25" s="17"/>
      <c r="G25" s="14"/>
    </row>
    <row r="26" ht="16.5" spans="1:7">
      <c r="A26" s="23"/>
      <c r="B26" s="14"/>
      <c r="C26" s="15"/>
      <c r="D26" s="16"/>
      <c r="E26" s="17"/>
      <c r="F26" s="17"/>
      <c r="G26" s="14"/>
    </row>
    <row r="27" ht="16.5" spans="1:7">
      <c r="A27" s="23"/>
      <c r="B27" s="14"/>
      <c r="C27" s="15"/>
      <c r="D27" s="16"/>
      <c r="E27" s="17"/>
      <c r="F27" s="17"/>
      <c r="G27" s="14"/>
    </row>
  </sheetData>
  <conditionalFormatting sqref="A1:A2">
    <cfRule type="duplicateValues" dxfId="0" priority="1"/>
  </conditionalFormatting>
  <dataValidations count="1">
    <dataValidation allowBlank="1" showInputMessage="1" showErrorMessage="1" sqref="B3:C3 C4 B5:C27"/>
  </dataValidations>
  <pageMargins left="0.75" right="0.75" top="1" bottom="1" header="0.5" footer="0.5"/>
  <pageSetup paperSize="9" orientation="portrait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901</v>
      </c>
      <c r="B1" s="2">
        <f>SUM(B3:B30)</f>
        <v>10222.8</v>
      </c>
      <c r="C1" s="3" cm="1">
        <f t="array" ref="C1">SUMPRODUCT(C3:C30*B3:B30)/B1</f>
        <v>257.838742810189</v>
      </c>
      <c r="D1" s="4" cm="1">
        <f t="array" ref="D1">SUMPRODUCT(B3:B30*D3:D30)/B1</f>
        <v>4.99896936260124</v>
      </c>
      <c r="E1" s="3" cm="1">
        <f t="array" ref="E1">SUMPRODUCT(B3:B30*E3:E30)/B1</f>
        <v>86.5853621317056</v>
      </c>
      <c r="F1" s="3" cm="1">
        <f t="array" ref="F1">SUMPRODUCT(B3:B30*F3:F30)/B1</f>
        <v>96.7272880228509</v>
      </c>
    </row>
    <row r="2" ht="16.5" spans="1:7">
      <c r="A2" s="6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8" t="s">
        <v>2091</v>
      </c>
      <c r="B3" s="34">
        <v>189.2</v>
      </c>
      <c r="C3" s="35">
        <v>264.2</v>
      </c>
      <c r="D3" s="36">
        <v>4.17</v>
      </c>
      <c r="E3" s="37">
        <v>88.6</v>
      </c>
      <c r="F3" s="37">
        <v>97.1</v>
      </c>
      <c r="G3" s="34">
        <v>24070207</v>
      </c>
    </row>
    <row r="4" ht="16.5" spans="1:7">
      <c r="A4" s="38" t="s">
        <v>2092</v>
      </c>
      <c r="B4" s="34">
        <v>498</v>
      </c>
      <c r="C4" s="35">
        <v>273</v>
      </c>
      <c r="D4" s="36">
        <v>5.3</v>
      </c>
      <c r="E4" s="37">
        <v>84.4</v>
      </c>
      <c r="F4" s="37">
        <v>96</v>
      </c>
      <c r="G4" s="34">
        <v>24120061</v>
      </c>
    </row>
    <row r="5" ht="16.5" spans="1:7">
      <c r="A5" s="38" t="s">
        <v>2093</v>
      </c>
      <c r="B5" s="34">
        <v>303.6</v>
      </c>
      <c r="C5" s="35">
        <v>253</v>
      </c>
      <c r="D5" s="36">
        <v>5.38</v>
      </c>
      <c r="E5" s="37">
        <v>86.7</v>
      </c>
      <c r="F5" s="37">
        <v>97.1</v>
      </c>
      <c r="G5" s="34">
        <v>25010437</v>
      </c>
    </row>
    <row r="6" ht="16.5" spans="1:7">
      <c r="A6" s="38" t="s">
        <v>2094</v>
      </c>
      <c r="B6" s="34">
        <v>332.6</v>
      </c>
      <c r="C6" s="35">
        <v>240.3</v>
      </c>
      <c r="D6" s="36">
        <v>5.49</v>
      </c>
      <c r="E6" s="37">
        <v>83</v>
      </c>
      <c r="F6" s="37">
        <v>95.5</v>
      </c>
      <c r="G6" s="34">
        <v>25010438</v>
      </c>
    </row>
    <row r="7" ht="16.5" spans="1:7">
      <c r="A7" s="38" t="s">
        <v>2095</v>
      </c>
      <c r="B7" s="34">
        <v>502.4</v>
      </c>
      <c r="C7" s="35">
        <v>223.3</v>
      </c>
      <c r="D7" s="36">
        <v>5.38</v>
      </c>
      <c r="E7" s="37">
        <v>79</v>
      </c>
      <c r="F7" s="37">
        <v>93.1</v>
      </c>
      <c r="G7" s="34">
        <v>25010497</v>
      </c>
    </row>
    <row r="8" ht="16.5" spans="1:7">
      <c r="A8" s="38" t="s">
        <v>2096</v>
      </c>
      <c r="B8" s="34">
        <v>267.2</v>
      </c>
      <c r="C8" s="35">
        <v>240.1</v>
      </c>
      <c r="D8" s="36">
        <v>6.5</v>
      </c>
      <c r="E8" s="37">
        <v>70.3</v>
      </c>
      <c r="F8" s="37">
        <v>89</v>
      </c>
      <c r="G8" s="34">
        <v>25020248</v>
      </c>
    </row>
    <row r="9" ht="16.5" spans="1:7">
      <c r="A9" s="38" t="s">
        <v>2097</v>
      </c>
      <c r="B9" s="34">
        <v>496.6</v>
      </c>
      <c r="C9" s="35">
        <v>230.8</v>
      </c>
      <c r="D9" s="36">
        <v>6.16</v>
      </c>
      <c r="E9" s="37">
        <v>76.7</v>
      </c>
      <c r="F9" s="37">
        <v>92.7</v>
      </c>
      <c r="G9" s="34">
        <v>25020306</v>
      </c>
    </row>
    <row r="10" ht="16.5" spans="1:7">
      <c r="A10" s="38" t="s">
        <v>2098</v>
      </c>
      <c r="B10" s="34">
        <v>390.2</v>
      </c>
      <c r="C10" s="35">
        <v>254.5</v>
      </c>
      <c r="D10" s="36">
        <v>4.89</v>
      </c>
      <c r="E10" s="37">
        <v>88.6</v>
      </c>
      <c r="F10" s="37">
        <v>97.3</v>
      </c>
      <c r="G10" s="34">
        <v>25020416</v>
      </c>
    </row>
    <row r="11" ht="16.5" spans="1:7">
      <c r="A11" s="38" t="s">
        <v>2099</v>
      </c>
      <c r="B11" s="34">
        <v>496.6</v>
      </c>
      <c r="C11" s="35">
        <v>251.8</v>
      </c>
      <c r="D11" s="36">
        <v>5.44</v>
      </c>
      <c r="E11" s="37">
        <v>75.7</v>
      </c>
      <c r="F11" s="37">
        <v>92.5</v>
      </c>
      <c r="G11" s="34">
        <v>25030319</v>
      </c>
    </row>
    <row r="12" ht="16.5" spans="1:7">
      <c r="A12" s="38" t="s">
        <v>2100</v>
      </c>
      <c r="B12" s="34">
        <v>248.6</v>
      </c>
      <c r="C12" s="35">
        <v>275.9</v>
      </c>
      <c r="D12" s="36">
        <v>4.23</v>
      </c>
      <c r="E12" s="37">
        <v>91</v>
      </c>
      <c r="F12" s="37">
        <v>98.7</v>
      </c>
      <c r="G12" s="34">
        <v>25040198</v>
      </c>
    </row>
    <row r="13" ht="16.5" spans="1:7">
      <c r="A13" s="38" t="s">
        <v>2101</v>
      </c>
      <c r="B13" s="34">
        <v>723.8</v>
      </c>
      <c r="C13" s="35">
        <v>258.4</v>
      </c>
      <c r="D13" s="36">
        <v>4.46</v>
      </c>
      <c r="E13" s="37">
        <v>89.2</v>
      </c>
      <c r="F13" s="37">
        <v>97.8</v>
      </c>
      <c r="G13" s="34">
        <v>25060127</v>
      </c>
    </row>
    <row r="14" ht="16.5" spans="1:7">
      <c r="A14" s="38" t="s">
        <v>2102</v>
      </c>
      <c r="B14" s="34">
        <v>728</v>
      </c>
      <c r="C14" s="35">
        <v>267.9</v>
      </c>
      <c r="D14" s="36">
        <v>4.29</v>
      </c>
      <c r="E14" s="37">
        <v>90.1</v>
      </c>
      <c r="F14" s="37">
        <v>98</v>
      </c>
      <c r="G14" s="34">
        <v>25070015</v>
      </c>
    </row>
    <row r="15" ht="16.5" spans="1:7">
      <c r="A15" s="38" t="s">
        <v>2103</v>
      </c>
      <c r="B15" s="34">
        <v>536.8</v>
      </c>
      <c r="C15" s="35">
        <v>277.6</v>
      </c>
      <c r="D15" s="36">
        <v>4.31</v>
      </c>
      <c r="E15" s="37">
        <v>89.3</v>
      </c>
      <c r="F15" s="37">
        <v>98.2</v>
      </c>
      <c r="G15" s="34">
        <v>25070139</v>
      </c>
    </row>
    <row r="16" ht="16.5" spans="1:7">
      <c r="A16" s="38" t="s">
        <v>2104</v>
      </c>
      <c r="B16" s="34">
        <v>792</v>
      </c>
      <c r="C16" s="35">
        <v>263.4</v>
      </c>
      <c r="D16" s="36">
        <v>4.11</v>
      </c>
      <c r="E16" s="37">
        <v>89.7</v>
      </c>
      <c r="F16" s="37">
        <v>98.2</v>
      </c>
      <c r="G16" s="34">
        <v>25070166</v>
      </c>
    </row>
    <row r="17" ht="16.5" spans="1:7">
      <c r="A17" s="39" t="s">
        <v>2105</v>
      </c>
      <c r="B17" s="9">
        <v>509</v>
      </c>
      <c r="C17" s="10">
        <v>255</v>
      </c>
      <c r="D17" s="11">
        <v>5.08</v>
      </c>
      <c r="E17" s="12">
        <v>90.2</v>
      </c>
      <c r="F17" s="12">
        <v>98.5</v>
      </c>
      <c r="G17" s="9">
        <v>25030031</v>
      </c>
    </row>
    <row r="18" ht="16.5" spans="1:7">
      <c r="A18" s="39" t="s">
        <v>2106</v>
      </c>
      <c r="B18" s="9">
        <v>648</v>
      </c>
      <c r="C18" s="10">
        <v>256.9</v>
      </c>
      <c r="D18" s="11">
        <v>5.08</v>
      </c>
      <c r="E18" s="12">
        <v>90.6</v>
      </c>
      <c r="F18" s="12">
        <v>98.4</v>
      </c>
      <c r="G18" s="9">
        <v>25030049</v>
      </c>
    </row>
    <row r="19" ht="16.5" spans="1:7">
      <c r="A19" s="39" t="s">
        <v>2107</v>
      </c>
      <c r="B19" s="9">
        <v>500.8</v>
      </c>
      <c r="C19" s="10">
        <v>275.6</v>
      </c>
      <c r="D19" s="11">
        <v>5.02</v>
      </c>
      <c r="E19" s="12">
        <v>90</v>
      </c>
      <c r="F19" s="12">
        <v>97.9</v>
      </c>
      <c r="G19" s="9">
        <v>25020412</v>
      </c>
    </row>
    <row r="20" ht="16.5" spans="1:7">
      <c r="A20" s="68" t="s">
        <v>2108</v>
      </c>
      <c r="B20" s="9">
        <v>489.2</v>
      </c>
      <c r="C20" s="10">
        <v>274.5</v>
      </c>
      <c r="D20" s="11">
        <v>5.02</v>
      </c>
      <c r="E20" s="12">
        <v>90.4</v>
      </c>
      <c r="F20" s="12">
        <v>98.1</v>
      </c>
      <c r="G20" s="9">
        <v>25020413</v>
      </c>
    </row>
    <row r="21" ht="16.5" spans="1:7">
      <c r="A21" s="39" t="s">
        <v>936</v>
      </c>
      <c r="B21" s="9">
        <v>533.2</v>
      </c>
      <c r="C21" s="10">
        <v>251.1</v>
      </c>
      <c r="D21" s="11">
        <v>4.89</v>
      </c>
      <c r="E21" s="12">
        <v>89.7</v>
      </c>
      <c r="F21" s="12">
        <v>98.3</v>
      </c>
      <c r="G21" s="9">
        <v>25040018</v>
      </c>
    </row>
    <row r="22" ht="16.5" spans="1:7">
      <c r="A22" s="115" t="s">
        <v>2109</v>
      </c>
      <c r="B22" s="109">
        <v>495.2</v>
      </c>
      <c r="C22" s="111">
        <v>255.6</v>
      </c>
      <c r="D22" s="112">
        <v>5.05</v>
      </c>
      <c r="E22" s="113">
        <v>88.7</v>
      </c>
      <c r="F22" s="113">
        <v>97.1</v>
      </c>
      <c r="G22" s="14">
        <v>24120365</v>
      </c>
    </row>
    <row r="23" ht="16.5" spans="1:7">
      <c r="A23" s="23" t="s">
        <v>2110</v>
      </c>
      <c r="B23" s="14">
        <v>541.8</v>
      </c>
      <c r="C23" s="15">
        <v>259.4</v>
      </c>
      <c r="D23" s="16">
        <v>5.87</v>
      </c>
      <c r="E23" s="17">
        <v>85.4</v>
      </c>
      <c r="F23" s="17">
        <v>96.6</v>
      </c>
      <c r="G23" s="14">
        <v>25010019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4:B9 B12:B18 B21:B23 C4:C23"/>
  </dataValidations>
  <pageMargins left="0.75" right="0.75" top="1" bottom="1" header="0.5" footer="0.5"/>
  <pageSetup paperSize="9" orientation="portrait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902</v>
      </c>
      <c r="B1" s="2">
        <f>SUM(B3:B30)</f>
        <v>7967.6</v>
      </c>
      <c r="C1" s="3" cm="1">
        <f t="array" ref="C1">SUMPRODUCT(C3:C30*B3:B30)/B1</f>
        <v>137.563198453738</v>
      </c>
      <c r="D1" s="4" cm="1">
        <f t="array" ref="D1">SUMPRODUCT(B3:B30*D3:D30)/B1</f>
        <v>3.32114287865857</v>
      </c>
      <c r="E1" s="3" cm="1">
        <f t="array" ref="E1">SUMPRODUCT(B3:B30*E3:E30)/B1</f>
        <v>76.8452808875948</v>
      </c>
      <c r="F1" s="3" cm="1">
        <f t="array" ref="F1">SUMPRODUCT(B3:B30*F3:F30)/B1</f>
        <v>93.6892439379487</v>
      </c>
    </row>
    <row r="2" ht="16.5" spans="1:7">
      <c r="A2" s="6">
        <v>120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2111</v>
      </c>
      <c r="B3" s="9">
        <v>787</v>
      </c>
      <c r="C3" s="10">
        <v>155.7</v>
      </c>
      <c r="D3" s="11">
        <v>3.99</v>
      </c>
      <c r="E3" s="12">
        <v>76.5</v>
      </c>
      <c r="F3" s="12">
        <v>93.2</v>
      </c>
      <c r="G3" s="9">
        <v>25080010</v>
      </c>
    </row>
    <row r="4" ht="16.5" spans="1:7">
      <c r="A4" s="39" t="s">
        <v>2112</v>
      </c>
      <c r="B4" s="9">
        <v>292.4</v>
      </c>
      <c r="C4" s="10">
        <v>146.1</v>
      </c>
      <c r="D4" s="11">
        <v>3.82</v>
      </c>
      <c r="E4" s="12">
        <v>76.7</v>
      </c>
      <c r="F4" s="12">
        <v>94.1</v>
      </c>
      <c r="G4" s="9">
        <v>25080011</v>
      </c>
    </row>
    <row r="5" ht="16.5" spans="1:7">
      <c r="A5" s="39" t="s">
        <v>2113</v>
      </c>
      <c r="B5" s="9">
        <v>796.4</v>
      </c>
      <c r="C5" s="10">
        <v>122.7</v>
      </c>
      <c r="D5" s="11">
        <v>3.28</v>
      </c>
      <c r="E5" s="12">
        <v>76.8</v>
      </c>
      <c r="F5" s="12">
        <v>93.9</v>
      </c>
      <c r="G5" s="9">
        <v>25080120</v>
      </c>
    </row>
    <row r="6" ht="16.5" spans="1:7">
      <c r="A6" s="39" t="s">
        <v>2114</v>
      </c>
      <c r="B6" s="9">
        <v>618.2</v>
      </c>
      <c r="C6" s="10">
        <v>164.5</v>
      </c>
      <c r="D6" s="11">
        <v>4.15</v>
      </c>
      <c r="E6" s="12">
        <v>60.5</v>
      </c>
      <c r="F6" s="12">
        <v>84.8</v>
      </c>
      <c r="G6" s="9">
        <v>25080105</v>
      </c>
    </row>
    <row r="7" ht="16.5" spans="1:7">
      <c r="A7" s="39" t="s">
        <v>2115</v>
      </c>
      <c r="B7" s="9">
        <v>832.8</v>
      </c>
      <c r="C7" s="10">
        <v>107.5</v>
      </c>
      <c r="D7" s="11">
        <v>2.96</v>
      </c>
      <c r="E7" s="12">
        <v>76.1</v>
      </c>
      <c r="F7" s="12">
        <v>93.5</v>
      </c>
      <c r="G7" s="9">
        <v>25080121</v>
      </c>
    </row>
    <row r="8" ht="16.5" spans="1:7">
      <c r="A8" s="39" t="s">
        <v>2116</v>
      </c>
      <c r="B8" s="9">
        <v>390.2</v>
      </c>
      <c r="C8" s="10">
        <v>100.7</v>
      </c>
      <c r="D8" s="11">
        <v>2.83</v>
      </c>
      <c r="E8" s="12">
        <v>76.4</v>
      </c>
      <c r="F8" s="12">
        <v>94.4</v>
      </c>
      <c r="G8" s="9">
        <v>25080123</v>
      </c>
    </row>
    <row r="9" ht="16.5" spans="1:7">
      <c r="A9" s="39" t="s">
        <v>2117</v>
      </c>
      <c r="B9" s="9">
        <v>510</v>
      </c>
      <c r="C9" s="10">
        <v>99.7</v>
      </c>
      <c r="D9" s="11">
        <v>2.93</v>
      </c>
      <c r="E9" s="12">
        <v>82.1</v>
      </c>
      <c r="F9" s="12">
        <v>96.8</v>
      </c>
      <c r="G9" s="9">
        <v>25080134</v>
      </c>
    </row>
    <row r="10" ht="16.5" spans="1:7">
      <c r="A10" s="39" t="s">
        <v>2118</v>
      </c>
      <c r="B10" s="9">
        <v>612.4</v>
      </c>
      <c r="C10" s="10">
        <v>230.3</v>
      </c>
      <c r="D10" s="11">
        <v>3.89</v>
      </c>
      <c r="E10" s="12">
        <v>83.5</v>
      </c>
      <c r="F10" s="12">
        <v>94.8</v>
      </c>
      <c r="G10" s="9">
        <v>25080125</v>
      </c>
    </row>
    <row r="11" ht="16.5" spans="1:7">
      <c r="A11" s="39" t="s">
        <v>2119</v>
      </c>
      <c r="B11" s="9">
        <v>429.2</v>
      </c>
      <c r="C11" s="10">
        <v>91.7</v>
      </c>
      <c r="D11" s="11">
        <v>2.67</v>
      </c>
      <c r="E11" s="12">
        <v>78.2</v>
      </c>
      <c r="F11" s="12">
        <v>95.4</v>
      </c>
      <c r="G11" s="9">
        <v>25080108</v>
      </c>
    </row>
    <row r="12" ht="16.5" spans="1:7">
      <c r="A12" s="39" t="s">
        <v>2120</v>
      </c>
      <c r="B12" s="9">
        <v>385</v>
      </c>
      <c r="C12" s="10">
        <v>98.2</v>
      </c>
      <c r="D12" s="11">
        <v>2.8</v>
      </c>
      <c r="E12" s="12">
        <v>76.8</v>
      </c>
      <c r="F12" s="12">
        <v>95</v>
      </c>
      <c r="G12" s="9">
        <v>25080042</v>
      </c>
    </row>
    <row r="13" ht="16.5" spans="1:7">
      <c r="A13" s="39" t="s">
        <v>2121</v>
      </c>
      <c r="B13" s="9">
        <v>304.6</v>
      </c>
      <c r="C13" s="10">
        <v>97.1</v>
      </c>
      <c r="D13" s="11">
        <v>2.8</v>
      </c>
      <c r="E13" s="12">
        <v>76.2</v>
      </c>
      <c r="F13" s="12">
        <v>94.6</v>
      </c>
      <c r="G13" s="9">
        <v>25080043</v>
      </c>
    </row>
    <row r="14" ht="16.5" spans="1:7">
      <c r="A14" s="39" t="s">
        <v>2122</v>
      </c>
      <c r="B14" s="9">
        <v>857.8</v>
      </c>
      <c r="C14" s="10">
        <v>231.5</v>
      </c>
      <c r="D14" s="11">
        <v>3.94</v>
      </c>
      <c r="E14" s="12">
        <v>82.9</v>
      </c>
      <c r="F14" s="12">
        <v>94.3</v>
      </c>
      <c r="G14" s="9">
        <v>25080126</v>
      </c>
    </row>
    <row r="15" ht="16.5" spans="1:7">
      <c r="A15" s="39" t="s">
        <v>2123</v>
      </c>
      <c r="B15" s="9">
        <v>494.8</v>
      </c>
      <c r="C15" s="10">
        <v>92.4</v>
      </c>
      <c r="D15" s="11">
        <v>2.77</v>
      </c>
      <c r="E15" s="12">
        <v>78.2</v>
      </c>
      <c r="F15" s="12">
        <v>95.5</v>
      </c>
      <c r="G15" s="9">
        <v>25080107</v>
      </c>
    </row>
    <row r="16" ht="16.5" spans="1:7">
      <c r="A16" s="39" t="s">
        <v>2124</v>
      </c>
      <c r="B16" s="9">
        <v>656.8</v>
      </c>
      <c r="C16" s="10">
        <v>90.8</v>
      </c>
      <c r="D16" s="11">
        <v>2.67</v>
      </c>
      <c r="E16" s="12">
        <v>74.2</v>
      </c>
      <c r="F16" s="12">
        <v>94.1</v>
      </c>
      <c r="G16" s="9">
        <v>25080044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6"/>
  </dataValidations>
  <pageMargins left="0.75" right="0.75" top="1" bottom="1" header="0.5" footer="0.5"/>
  <pageSetup paperSize="9" orientation="portrait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I1" sqref="A$1:I$1048576"/>
    </sheetView>
  </sheetViews>
  <sheetFormatPr defaultColWidth="9" defaultRowHeight="13.5" outlineLevelCol="7"/>
  <cols>
    <col min="1" max="1" width="15.625" customWidth="1"/>
    <col min="7" max="8" width="9.375"/>
  </cols>
  <sheetData>
    <row r="1" ht="16.5" spans="1:8">
      <c r="A1" s="116">
        <v>903</v>
      </c>
      <c r="B1" s="2">
        <f>SUM(B3:B30)</f>
        <v>5020</v>
      </c>
      <c r="C1" s="3" cm="1">
        <f t="array" ref="C1">SUMPRODUCT(C3:C30*B3:B30)/B1</f>
        <v>218.778458167331</v>
      </c>
      <c r="D1" s="4" cm="1">
        <f t="array" ref="D1">SUMPRODUCT(B3:B30*D3:D30)/B1</f>
        <v>4.93540438247012</v>
      </c>
      <c r="E1" s="3" cm="1">
        <f t="array" ref="E1">SUMPRODUCT(B3:B30*E3:E30)/B1</f>
        <v>82.9676653386454</v>
      </c>
      <c r="F1" s="3" cm="1">
        <f t="array" ref="F1">SUMPRODUCT(B3:B30*F3:F30)/B1</f>
        <v>95.6994103585657</v>
      </c>
      <c r="G1" s="3" cm="1">
        <f t="array" ref="G1">SUMPRODUCT(B3:B30*G3:G30)/B1</f>
        <v>11.7759179282869</v>
      </c>
    </row>
    <row r="2" ht="16.5" spans="1:8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41" t="s">
        <v>2125</v>
      </c>
      <c r="B3" s="34">
        <v>512</v>
      </c>
      <c r="C3" s="35">
        <v>228.1</v>
      </c>
      <c r="D3" s="36">
        <v>6.24</v>
      </c>
      <c r="E3" s="37">
        <v>77.1</v>
      </c>
      <c r="F3" s="37">
        <v>93.2</v>
      </c>
      <c r="G3" s="36">
        <v>12.48</v>
      </c>
      <c r="H3" s="34">
        <v>25010392</v>
      </c>
    </row>
    <row r="4" ht="16.5" spans="1:8">
      <c r="A4" s="41" t="s">
        <v>2126</v>
      </c>
      <c r="B4" s="34">
        <v>471.2</v>
      </c>
      <c r="C4" s="35">
        <v>220.5</v>
      </c>
      <c r="D4" s="36">
        <v>4.69</v>
      </c>
      <c r="E4" s="37">
        <v>84.1</v>
      </c>
      <c r="F4" s="37">
        <v>96</v>
      </c>
      <c r="G4" s="36">
        <v>11.91</v>
      </c>
      <c r="H4" s="34">
        <v>25040207</v>
      </c>
    </row>
    <row r="5" ht="16.5" spans="1:8">
      <c r="A5" s="41" t="s">
        <v>2127</v>
      </c>
      <c r="B5" s="34">
        <v>494.2</v>
      </c>
      <c r="C5" s="35">
        <v>200.1</v>
      </c>
      <c r="D5" s="36">
        <v>5.11</v>
      </c>
      <c r="E5" s="37">
        <v>84.1</v>
      </c>
      <c r="F5" s="37">
        <v>96.6</v>
      </c>
      <c r="G5" s="36">
        <v>11.49</v>
      </c>
      <c r="H5" s="133">
        <v>25040303</v>
      </c>
    </row>
    <row r="6" ht="16.5" spans="1:8">
      <c r="A6" s="41" t="s">
        <v>2128</v>
      </c>
      <c r="B6" s="34">
        <v>498.8</v>
      </c>
      <c r="C6" s="35">
        <v>217.7</v>
      </c>
      <c r="D6" s="36">
        <v>4.32</v>
      </c>
      <c r="E6" s="37">
        <v>83.9</v>
      </c>
      <c r="F6" s="37">
        <v>96.5</v>
      </c>
      <c r="G6" s="36">
        <v>11.64</v>
      </c>
      <c r="H6" s="34">
        <v>25040357</v>
      </c>
    </row>
    <row r="7" ht="16.5" spans="1:8">
      <c r="A7" s="41" t="s">
        <v>2129</v>
      </c>
      <c r="B7" s="34">
        <v>495</v>
      </c>
      <c r="C7" s="35">
        <v>220.6</v>
      </c>
      <c r="D7" s="36">
        <v>4.23</v>
      </c>
      <c r="E7" s="37">
        <v>86.7</v>
      </c>
      <c r="F7" s="37">
        <v>97.6</v>
      </c>
      <c r="G7" s="36">
        <v>11.93</v>
      </c>
      <c r="H7" s="34">
        <v>25040356</v>
      </c>
    </row>
    <row r="8" ht="16.5" spans="1:8">
      <c r="A8" s="41" t="s">
        <v>2130</v>
      </c>
      <c r="B8" s="34">
        <v>352</v>
      </c>
      <c r="C8" s="35">
        <v>214.5</v>
      </c>
      <c r="D8" s="36">
        <v>5.44</v>
      </c>
      <c r="E8" s="37">
        <v>81.6</v>
      </c>
      <c r="F8" s="37">
        <v>94.7</v>
      </c>
      <c r="G8" s="36">
        <v>11.84</v>
      </c>
      <c r="H8" s="34">
        <v>25040400</v>
      </c>
    </row>
    <row r="9" ht="16.5" spans="1:8">
      <c r="A9" s="41" t="s">
        <v>1878</v>
      </c>
      <c r="B9" s="34">
        <v>705</v>
      </c>
      <c r="C9" s="35">
        <v>230.4</v>
      </c>
      <c r="D9" s="36">
        <v>5</v>
      </c>
      <c r="E9" s="37">
        <v>80.2</v>
      </c>
      <c r="F9" s="37">
        <v>93.9</v>
      </c>
      <c r="G9" s="36">
        <v>11.8</v>
      </c>
      <c r="H9" s="34">
        <v>25070040</v>
      </c>
    </row>
    <row r="10" ht="16.5" spans="1:8">
      <c r="A10" s="41" t="s">
        <v>2131</v>
      </c>
      <c r="B10" s="34">
        <v>757.6</v>
      </c>
      <c r="C10" s="35">
        <v>227.7</v>
      </c>
      <c r="D10" s="36">
        <v>4.29</v>
      </c>
      <c r="E10" s="37">
        <v>83.9</v>
      </c>
      <c r="F10" s="37">
        <v>96.1</v>
      </c>
      <c r="G10" s="36">
        <v>11.17</v>
      </c>
      <c r="H10" s="34">
        <v>25070274</v>
      </c>
    </row>
    <row r="11" ht="16.5" spans="1:8">
      <c r="A11" s="68" t="s">
        <v>2132</v>
      </c>
      <c r="B11" s="9">
        <v>398.4</v>
      </c>
      <c r="C11" s="10">
        <v>200.5</v>
      </c>
      <c r="D11" s="11">
        <v>5.55</v>
      </c>
      <c r="E11" s="12">
        <v>83.4</v>
      </c>
      <c r="F11" s="12">
        <v>96.2</v>
      </c>
      <c r="G11" s="36">
        <v>11.91</v>
      </c>
      <c r="H11" s="9">
        <v>25050061</v>
      </c>
    </row>
    <row r="12" ht="16.5" spans="1:8">
      <c r="A12" s="68" t="s">
        <v>2133</v>
      </c>
      <c r="B12" s="9">
        <v>335.8</v>
      </c>
      <c r="C12" s="10">
        <v>210.2</v>
      </c>
      <c r="D12" s="11">
        <v>5.05</v>
      </c>
      <c r="E12" s="12">
        <v>86.4</v>
      </c>
      <c r="F12" s="12">
        <v>97.1</v>
      </c>
      <c r="G12" s="36">
        <v>12</v>
      </c>
      <c r="H12" s="9">
        <v>25040379</v>
      </c>
    </row>
    <row r="14" ht="16.5" spans="1:8">
      <c r="A14" s="23"/>
      <c r="B14" s="14"/>
      <c r="C14" s="15"/>
      <c r="D14" s="16"/>
      <c r="E14" s="17"/>
      <c r="F14" s="17"/>
      <c r="G14" s="14"/>
    </row>
  </sheetData>
  <conditionalFormatting sqref="A1:A2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904</v>
      </c>
      <c r="B1" s="2">
        <f>SUM(B3:B30)</f>
        <v>9665.6</v>
      </c>
      <c r="C1" s="3" cm="1">
        <f t="array" ref="C1">SUMPRODUCT(C3:C30*B3:B30)/B1</f>
        <v>201.993837940738</v>
      </c>
      <c r="D1" s="4" cm="1">
        <f t="array" ref="D1">SUMPRODUCT(B3:B30*D3:D30)/B1</f>
        <v>4.95429709485184</v>
      </c>
      <c r="E1" s="3" cm="1">
        <f t="array" ref="E1">SUMPRODUCT(B3:B30*E3:E30)/B1</f>
        <v>83.8409224466148</v>
      </c>
      <c r="F1" s="3" cm="1">
        <f t="array" ref="F1">SUMPRODUCT(B3:B30*F3:F30)/B1</f>
        <v>96.0155830988247</v>
      </c>
    </row>
    <row r="2" ht="16.5" spans="1:7">
      <c r="A2" s="6">
        <v>180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2134</v>
      </c>
      <c r="B3" s="9">
        <v>478.4</v>
      </c>
      <c r="C3" s="10">
        <v>202.5</v>
      </c>
      <c r="D3" s="11">
        <v>5.22</v>
      </c>
      <c r="E3" s="12">
        <v>82</v>
      </c>
      <c r="F3" s="12">
        <v>94.7</v>
      </c>
      <c r="G3" s="34">
        <v>25040341</v>
      </c>
    </row>
    <row r="4" ht="16.5" spans="1:7">
      <c r="A4" s="39" t="s">
        <v>2135</v>
      </c>
      <c r="B4" s="9">
        <v>477.6</v>
      </c>
      <c r="C4" s="10">
        <v>204.5</v>
      </c>
      <c r="D4" s="11">
        <v>5.35</v>
      </c>
      <c r="E4" s="12">
        <v>81.7</v>
      </c>
      <c r="F4" s="12">
        <v>94.6</v>
      </c>
      <c r="G4" s="34">
        <v>25040342</v>
      </c>
    </row>
    <row r="5" ht="16.5" spans="1:7">
      <c r="A5" s="68" t="s">
        <v>2136</v>
      </c>
      <c r="B5" s="9">
        <v>511.6</v>
      </c>
      <c r="C5" s="10">
        <v>212.6</v>
      </c>
      <c r="D5" s="11">
        <v>4.72</v>
      </c>
      <c r="E5" s="12">
        <v>88</v>
      </c>
      <c r="F5" s="12">
        <v>98</v>
      </c>
      <c r="G5" s="34">
        <v>25040374</v>
      </c>
    </row>
    <row r="6" ht="16.5" spans="1:7">
      <c r="A6" s="39" t="s">
        <v>2137</v>
      </c>
      <c r="B6" s="9">
        <v>492.2</v>
      </c>
      <c r="C6" s="10">
        <v>210.7</v>
      </c>
      <c r="D6" s="11">
        <v>5.08</v>
      </c>
      <c r="E6" s="12">
        <v>83.8</v>
      </c>
      <c r="F6" s="12">
        <v>95.8</v>
      </c>
      <c r="G6" s="34">
        <v>25040322</v>
      </c>
    </row>
    <row r="7" ht="16.5" spans="1:7">
      <c r="A7" s="39" t="s">
        <v>2138</v>
      </c>
      <c r="B7" s="9">
        <v>487.8</v>
      </c>
      <c r="C7" s="10">
        <v>220.9</v>
      </c>
      <c r="D7" s="11">
        <v>5.13</v>
      </c>
      <c r="E7" s="12">
        <v>89.6</v>
      </c>
      <c r="F7" s="12">
        <v>98.4</v>
      </c>
      <c r="G7" s="34">
        <v>25040535</v>
      </c>
    </row>
    <row r="8" ht="16.5" spans="1:7">
      <c r="A8" s="39" t="s">
        <v>2139</v>
      </c>
      <c r="B8" s="9">
        <v>483.6</v>
      </c>
      <c r="C8" s="10">
        <v>217.3</v>
      </c>
      <c r="D8" s="11">
        <v>4.43</v>
      </c>
      <c r="E8" s="12">
        <v>90.5</v>
      </c>
      <c r="F8" s="12">
        <v>98.8</v>
      </c>
      <c r="G8" s="34">
        <v>25040298</v>
      </c>
    </row>
    <row r="9" ht="16.5" spans="1:7">
      <c r="A9" s="39" t="s">
        <v>2140</v>
      </c>
      <c r="B9" s="9">
        <v>502.6</v>
      </c>
      <c r="C9" s="10">
        <v>173.9</v>
      </c>
      <c r="D9" s="11">
        <v>4.29</v>
      </c>
      <c r="E9" s="12">
        <v>81.2</v>
      </c>
      <c r="F9" s="12">
        <v>95</v>
      </c>
      <c r="G9" s="34">
        <v>25040360</v>
      </c>
    </row>
    <row r="10" ht="16.5" spans="1:7">
      <c r="A10" s="39" t="s">
        <v>2141</v>
      </c>
      <c r="B10" s="9">
        <v>512.8</v>
      </c>
      <c r="C10" s="10">
        <v>211.8</v>
      </c>
      <c r="D10" s="11">
        <v>5.3</v>
      </c>
      <c r="E10" s="12">
        <v>85.1</v>
      </c>
      <c r="F10" s="12">
        <v>96.5</v>
      </c>
      <c r="G10" s="9">
        <v>25020103</v>
      </c>
    </row>
    <row r="11" ht="16.5" spans="1:7">
      <c r="A11" s="39" t="s">
        <v>2142</v>
      </c>
      <c r="B11" s="9">
        <v>309.4</v>
      </c>
      <c r="C11" s="10">
        <v>171.1</v>
      </c>
      <c r="D11" s="11">
        <v>4.34</v>
      </c>
      <c r="E11" s="12">
        <v>80.3</v>
      </c>
      <c r="F11" s="12">
        <v>94.9</v>
      </c>
      <c r="G11" s="34">
        <v>25060098</v>
      </c>
    </row>
    <row r="12" ht="16.5" spans="1:7">
      <c r="A12" s="68" t="s">
        <v>2143</v>
      </c>
      <c r="B12" s="56">
        <v>464.2</v>
      </c>
      <c r="C12" s="12">
        <v>189.6</v>
      </c>
      <c r="D12" s="57">
        <v>4.66</v>
      </c>
      <c r="E12" s="12">
        <v>88.3</v>
      </c>
      <c r="F12" s="12">
        <v>98.1</v>
      </c>
      <c r="G12" s="34">
        <v>25050059</v>
      </c>
    </row>
    <row r="13" ht="16.5" spans="1:7">
      <c r="A13" s="39" t="s">
        <v>2144</v>
      </c>
      <c r="B13" s="9">
        <v>489.8</v>
      </c>
      <c r="C13" s="10">
        <v>211.1</v>
      </c>
      <c r="D13" s="11">
        <v>5.6</v>
      </c>
      <c r="E13" s="12">
        <v>82.3</v>
      </c>
      <c r="F13" s="12">
        <v>95.7</v>
      </c>
      <c r="G13" s="34">
        <v>25050037</v>
      </c>
    </row>
    <row r="14" ht="16.5" spans="1:7">
      <c r="A14" s="68" t="s">
        <v>2145</v>
      </c>
      <c r="B14" s="56">
        <v>774.8</v>
      </c>
      <c r="C14" s="12">
        <v>171.6</v>
      </c>
      <c r="D14" s="57">
        <v>4.34</v>
      </c>
      <c r="E14" s="12">
        <v>80.5</v>
      </c>
      <c r="F14" s="12">
        <v>94.9</v>
      </c>
      <c r="G14" s="34">
        <v>25060097</v>
      </c>
    </row>
    <row r="15" ht="16.5" spans="1:7">
      <c r="A15" s="39" t="s">
        <v>2146</v>
      </c>
      <c r="B15" s="9">
        <v>521</v>
      </c>
      <c r="C15" s="10">
        <v>211.5</v>
      </c>
      <c r="D15" s="11">
        <v>5.6</v>
      </c>
      <c r="E15" s="12">
        <v>80.4</v>
      </c>
      <c r="F15" s="12">
        <v>94.1</v>
      </c>
      <c r="G15" s="34">
        <v>25040401</v>
      </c>
    </row>
    <row r="16" ht="16.5" spans="1:7">
      <c r="A16" s="39" t="s">
        <v>2147</v>
      </c>
      <c r="B16" s="9">
        <v>496.2</v>
      </c>
      <c r="C16" s="10">
        <v>211.9</v>
      </c>
      <c r="D16" s="11">
        <v>4.72</v>
      </c>
      <c r="E16" s="12">
        <v>87.9</v>
      </c>
      <c r="F16" s="12">
        <v>98</v>
      </c>
      <c r="G16" s="34">
        <v>25040375</v>
      </c>
    </row>
    <row r="17" ht="16.5" spans="1:7">
      <c r="A17" s="39" t="s">
        <v>2148</v>
      </c>
      <c r="B17" s="9">
        <v>427.6</v>
      </c>
      <c r="C17" s="10">
        <v>205.6</v>
      </c>
      <c r="D17" s="11">
        <v>5.52</v>
      </c>
      <c r="E17" s="12">
        <v>82.6</v>
      </c>
      <c r="F17" s="12">
        <v>95.8</v>
      </c>
      <c r="G17" s="34">
        <v>25050038</v>
      </c>
    </row>
    <row r="18" ht="16.5" spans="1:7">
      <c r="A18" s="39" t="s">
        <v>2149</v>
      </c>
      <c r="B18" s="9">
        <v>498</v>
      </c>
      <c r="C18" s="10">
        <v>212.7</v>
      </c>
      <c r="D18" s="11">
        <v>4.61</v>
      </c>
      <c r="E18" s="12">
        <v>84.3</v>
      </c>
      <c r="F18" s="12">
        <v>96.2</v>
      </c>
      <c r="G18" s="34">
        <v>25050080</v>
      </c>
    </row>
    <row r="19" ht="16.5" spans="1:7">
      <c r="A19" s="39" t="s">
        <v>2150</v>
      </c>
      <c r="B19" s="9">
        <v>489.4</v>
      </c>
      <c r="C19" s="10">
        <v>214.7</v>
      </c>
      <c r="D19" s="11">
        <v>5.46</v>
      </c>
      <c r="E19" s="12">
        <v>85.3</v>
      </c>
      <c r="F19" s="12">
        <v>96.9</v>
      </c>
      <c r="G19" s="34">
        <v>25040538</v>
      </c>
    </row>
    <row r="20" ht="16.5" spans="1:7">
      <c r="A20" s="39" t="s">
        <v>2151</v>
      </c>
      <c r="B20" s="9">
        <v>464</v>
      </c>
      <c r="C20" s="10">
        <v>170.4</v>
      </c>
      <c r="D20" s="11">
        <v>5.02</v>
      </c>
      <c r="E20" s="12">
        <v>73.9</v>
      </c>
      <c r="F20" s="12">
        <v>91.9</v>
      </c>
      <c r="G20" s="34">
        <v>25040524</v>
      </c>
    </row>
    <row r="21" ht="16.5" spans="1:7">
      <c r="A21" s="39" t="s">
        <v>2152</v>
      </c>
      <c r="B21" s="9">
        <v>479.2</v>
      </c>
      <c r="C21" s="10">
        <v>215.3</v>
      </c>
      <c r="D21" s="11">
        <v>4.72</v>
      </c>
      <c r="E21" s="12">
        <v>85.4</v>
      </c>
      <c r="F21" s="12">
        <v>96.1</v>
      </c>
      <c r="G21" s="34">
        <v>25040399</v>
      </c>
    </row>
    <row r="22" ht="16.5" spans="1:7">
      <c r="A22" s="68" t="s">
        <v>2153</v>
      </c>
      <c r="B22" s="56">
        <v>0</v>
      </c>
      <c r="C22" s="12">
        <v>211.5</v>
      </c>
      <c r="D22" s="57">
        <v>5.41</v>
      </c>
      <c r="E22" s="12">
        <v>84.8</v>
      </c>
      <c r="F22" s="12">
        <v>96.7</v>
      </c>
      <c r="G22" s="56">
        <v>25030474</v>
      </c>
    </row>
    <row r="23" ht="16.5" spans="1:7">
      <c r="A23" s="39" t="s">
        <v>2154</v>
      </c>
      <c r="B23" s="9">
        <v>305.4</v>
      </c>
      <c r="C23" s="10">
        <v>205.4</v>
      </c>
      <c r="D23" s="11">
        <v>5.27</v>
      </c>
      <c r="E23" s="12">
        <v>84</v>
      </c>
      <c r="F23" s="12">
        <v>96</v>
      </c>
      <c r="G23" s="56">
        <v>25030473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B4 B6:B15 B17:B20 B22:B23 C3:C23"/>
  </dataValidations>
  <pageMargins left="0.75" right="0.75" top="1" bottom="1" header="0.5" footer="0.5"/>
  <pageSetup paperSize="9" orientation="portrait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K16" sqref="K16"/>
    </sheetView>
  </sheetViews>
  <sheetFormatPr defaultColWidth="9" defaultRowHeight="13.5" outlineLevelCol="7"/>
  <cols>
    <col min="1" max="1" width="15.625" customWidth="1"/>
    <col min="7" max="7" width="9.375"/>
  </cols>
  <sheetData>
    <row r="1" ht="16.5" spans="1:8">
      <c r="A1" s="116">
        <v>905</v>
      </c>
      <c r="B1" s="2">
        <f>SUM(B3:B32)</f>
        <v>5677.4</v>
      </c>
      <c r="C1" s="3" cm="1">
        <f t="array" ref="C1">SUMPRODUCT(C3:C32*B3:B32)/B1</f>
        <v>219.200789093599</v>
      </c>
      <c r="D1" s="4" cm="1">
        <f t="array" ref="D1">SUMPRODUCT(B3:B32*D3:D32)/B1</f>
        <v>4.91172121041322</v>
      </c>
      <c r="E1" s="3" cm="1">
        <f t="array" ref="E1">SUMPRODUCT(B3:B32*E3:E32)/B1</f>
        <v>80.2160319864727</v>
      </c>
      <c r="F1" s="3" cm="1">
        <f t="array" ref="F1">SUMPRODUCT(B3:B32*F3:F32)/B1</f>
        <v>93.5252051995632</v>
      </c>
    </row>
    <row r="2" ht="16.5" spans="1:8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8">
      <c r="A3" s="54" t="s">
        <v>2155</v>
      </c>
      <c r="B3" s="9">
        <v>743.8</v>
      </c>
      <c r="C3" s="10">
        <v>241.6</v>
      </c>
      <c r="D3" s="11">
        <v>5.19</v>
      </c>
      <c r="E3" s="12">
        <v>86.1</v>
      </c>
      <c r="F3" s="12">
        <v>96.4</v>
      </c>
      <c r="G3" s="9">
        <v>25060305</v>
      </c>
      <c r="H3" s="143" t="s">
        <v>2156</v>
      </c>
    </row>
    <row r="4" ht="16.5" spans="1:8">
      <c r="A4" s="54" t="s">
        <v>2157</v>
      </c>
      <c r="B4" s="9">
        <v>0</v>
      </c>
      <c r="C4" s="10">
        <v>241.8</v>
      </c>
      <c r="D4" s="11">
        <v>5.22</v>
      </c>
      <c r="E4" s="12">
        <v>86.2</v>
      </c>
      <c r="F4" s="12">
        <v>96.6</v>
      </c>
      <c r="G4" s="9">
        <v>25060306</v>
      </c>
    </row>
    <row r="5" ht="16.5" spans="1:8">
      <c r="A5" s="54" t="s">
        <v>2158</v>
      </c>
      <c r="B5" s="9">
        <v>750.4</v>
      </c>
      <c r="C5" s="10">
        <v>179.4</v>
      </c>
      <c r="D5" s="11">
        <v>3.91</v>
      </c>
      <c r="E5" s="12">
        <v>72.6</v>
      </c>
      <c r="F5" s="12">
        <v>90.5</v>
      </c>
      <c r="G5" s="9">
        <v>25060322</v>
      </c>
    </row>
    <row r="6" ht="16.5" spans="1:8">
      <c r="A6" s="54" t="s">
        <v>2159</v>
      </c>
      <c r="B6" s="9">
        <v>663.4</v>
      </c>
      <c r="C6" s="10">
        <v>231.8</v>
      </c>
      <c r="D6" s="11">
        <v>5.08</v>
      </c>
      <c r="E6" s="12">
        <v>86.8</v>
      </c>
      <c r="F6" s="12">
        <v>96.4</v>
      </c>
      <c r="G6" s="9">
        <v>25060347</v>
      </c>
    </row>
    <row r="7" ht="16.5" spans="1:8">
      <c r="A7" s="54" t="s">
        <v>2160</v>
      </c>
      <c r="B7" s="9">
        <v>721.4</v>
      </c>
      <c r="C7" s="10">
        <v>210.5</v>
      </c>
      <c r="D7" s="11">
        <v>5.19</v>
      </c>
      <c r="E7" s="12">
        <v>68.5</v>
      </c>
      <c r="F7" s="12">
        <v>88.3</v>
      </c>
      <c r="G7" s="9">
        <v>25070003</v>
      </c>
    </row>
    <row r="8" ht="16.5" spans="1:8">
      <c r="A8" s="54" t="s">
        <v>2161</v>
      </c>
      <c r="B8" s="9">
        <v>438</v>
      </c>
      <c r="C8" s="10">
        <v>195.1</v>
      </c>
      <c r="D8" s="11">
        <v>4.72</v>
      </c>
      <c r="E8" s="12">
        <v>75.9</v>
      </c>
      <c r="F8" s="12">
        <v>89.3</v>
      </c>
      <c r="G8" s="9">
        <v>24090016</v>
      </c>
    </row>
    <row r="9" ht="16.5" spans="1:8">
      <c r="A9" s="54" t="s">
        <v>2162</v>
      </c>
      <c r="B9" s="9">
        <v>709.6</v>
      </c>
      <c r="C9" s="10">
        <v>232.6</v>
      </c>
      <c r="D9" s="11">
        <v>5.16</v>
      </c>
      <c r="E9" s="12">
        <v>85.2</v>
      </c>
      <c r="F9" s="12">
        <v>95.8</v>
      </c>
      <c r="G9" s="9">
        <v>25060348</v>
      </c>
    </row>
    <row r="10" ht="16.5" spans="1:8">
      <c r="A10" s="54" t="s">
        <v>2163</v>
      </c>
      <c r="B10" s="9">
        <v>878.2</v>
      </c>
      <c r="C10" s="10">
        <v>212.3</v>
      </c>
      <c r="D10" s="11">
        <v>5.02</v>
      </c>
      <c r="E10" s="12">
        <v>78.9</v>
      </c>
      <c r="F10" s="12">
        <v>93.8</v>
      </c>
      <c r="G10" s="9">
        <v>25060307</v>
      </c>
    </row>
    <row r="11" ht="16.5" spans="1:8">
      <c r="A11" s="108" t="s">
        <v>2164</v>
      </c>
      <c r="B11" s="109">
        <v>772.6</v>
      </c>
      <c r="C11" s="111">
        <v>242.8</v>
      </c>
      <c r="D11" s="112">
        <v>4.97</v>
      </c>
      <c r="E11" s="113">
        <v>86.6</v>
      </c>
      <c r="F11" s="113">
        <v>96.1</v>
      </c>
      <c r="G11" s="109">
        <v>25060346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1"/>
  </dataValidations>
  <pageMargins left="0.75" right="0.75" top="1" bottom="1" header="0.5" footer="0.5"/>
  <pageSetup paperSize="9" orientation="portrait"/>
  <headerFooter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L21" sqref="L21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906</v>
      </c>
      <c r="B1" s="2">
        <f>SUM(B3:B30)</f>
        <v>10014.6</v>
      </c>
      <c r="C1" s="3" cm="1">
        <f t="array" ref="C1">SUMPRODUCT(C3:C30*B3:B30)/B1</f>
        <v>151.378083997364</v>
      </c>
      <c r="D1" s="4" cm="1">
        <f t="array" ref="D1">SUMPRODUCT(B3:B30*D3:D30)/B1</f>
        <v>3.8365604217842</v>
      </c>
      <c r="E1" s="3" cm="1">
        <f t="array" ref="E1">SUMPRODUCT(B3:B30*E3:E30)/B1</f>
        <v>77.7469274858706</v>
      </c>
      <c r="F1" s="3" cm="1">
        <f t="array" ref="F1">SUMPRODUCT(B3:B30*F3:F30)/B1</f>
        <v>94.3642342180416</v>
      </c>
      <c r="G1" s="3" cm="1">
        <f t="array" ref="G1">SUMPRODUCT(B3:B30*G3:G30)/B1</f>
        <v>11.7207774649012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68" t="s">
        <v>2165</v>
      </c>
      <c r="B3" s="56">
        <v>810.4</v>
      </c>
      <c r="C3" s="12">
        <v>180.1</v>
      </c>
      <c r="D3" s="57">
        <v>4.46</v>
      </c>
      <c r="E3" s="12">
        <v>80.3</v>
      </c>
      <c r="F3" s="12">
        <v>94</v>
      </c>
      <c r="G3" s="57">
        <v>11.7</v>
      </c>
      <c r="H3" s="9">
        <v>25050180</v>
      </c>
    </row>
    <row r="4" ht="16.5" spans="1:8">
      <c r="A4" s="39" t="s">
        <v>2166</v>
      </c>
      <c r="B4" s="9">
        <v>201.8</v>
      </c>
      <c r="C4" s="10">
        <v>208</v>
      </c>
      <c r="D4" s="11">
        <v>3.7</v>
      </c>
      <c r="E4" s="12">
        <v>87.1</v>
      </c>
      <c r="F4" s="12">
        <v>97.7</v>
      </c>
      <c r="G4" s="11">
        <v>10.73</v>
      </c>
      <c r="H4" s="9">
        <v>25080062</v>
      </c>
    </row>
    <row r="5" ht="16.5" spans="1:8">
      <c r="A5" s="39" t="s">
        <v>2167</v>
      </c>
      <c r="B5" s="9">
        <v>758.2</v>
      </c>
      <c r="C5" s="10">
        <v>177.1</v>
      </c>
      <c r="D5" s="11">
        <v>5.02</v>
      </c>
      <c r="E5" s="12">
        <v>77</v>
      </c>
      <c r="F5" s="12">
        <v>93.8</v>
      </c>
      <c r="G5" s="11">
        <v>11.44</v>
      </c>
      <c r="H5" s="9">
        <v>25070305</v>
      </c>
    </row>
    <row r="6" ht="16.5" spans="1:8">
      <c r="A6" s="39" t="s">
        <v>2168</v>
      </c>
      <c r="B6" s="9">
        <v>300</v>
      </c>
      <c r="C6" s="10">
        <v>130.4</v>
      </c>
      <c r="D6" s="11">
        <v>3.49</v>
      </c>
      <c r="E6" s="12">
        <v>80.8</v>
      </c>
      <c r="F6" s="12">
        <v>95.5</v>
      </c>
      <c r="G6" s="11">
        <v>10.99</v>
      </c>
      <c r="H6" s="9">
        <v>25080089</v>
      </c>
    </row>
    <row r="7" ht="16.5" spans="1:8">
      <c r="A7" s="39" t="s">
        <v>2169</v>
      </c>
      <c r="B7" s="9">
        <v>395.2</v>
      </c>
      <c r="C7" s="10">
        <v>125.4</v>
      </c>
      <c r="D7" s="11">
        <v>3.4</v>
      </c>
      <c r="E7" s="12">
        <v>80.9</v>
      </c>
      <c r="F7" s="12">
        <v>95.6</v>
      </c>
      <c r="G7" s="11">
        <v>12.03</v>
      </c>
      <c r="H7" s="9">
        <v>25080090</v>
      </c>
    </row>
    <row r="8" ht="16.5" spans="1:8">
      <c r="A8" s="39" t="s">
        <v>2170</v>
      </c>
      <c r="B8" s="9">
        <v>774</v>
      </c>
      <c r="C8" s="10">
        <v>111.8</v>
      </c>
      <c r="D8" s="11">
        <v>2.87</v>
      </c>
      <c r="E8" s="12">
        <v>76.6</v>
      </c>
      <c r="F8" s="12">
        <v>94.9</v>
      </c>
      <c r="G8" s="11">
        <v>12.23</v>
      </c>
      <c r="H8" s="9">
        <v>25080093</v>
      </c>
    </row>
    <row r="9" ht="16.5" spans="1:8">
      <c r="A9" s="39" t="s">
        <v>2171</v>
      </c>
      <c r="B9" s="9">
        <v>496.4</v>
      </c>
      <c r="C9" s="10">
        <v>121.1</v>
      </c>
      <c r="D9" s="11">
        <v>3.4</v>
      </c>
      <c r="E9" s="12">
        <v>82.4</v>
      </c>
      <c r="F9" s="12">
        <v>97.1</v>
      </c>
      <c r="G9" s="11">
        <v>11.03</v>
      </c>
      <c r="H9" s="9">
        <v>25080056</v>
      </c>
    </row>
    <row r="10" ht="16.5" spans="1:8">
      <c r="A10" s="39" t="s">
        <v>2172</v>
      </c>
      <c r="B10" s="9">
        <v>817.2</v>
      </c>
      <c r="C10" s="10">
        <v>123.8</v>
      </c>
      <c r="D10" s="11">
        <v>3.43</v>
      </c>
      <c r="E10" s="12">
        <v>76</v>
      </c>
      <c r="F10" s="12">
        <v>93.4</v>
      </c>
      <c r="G10" s="11">
        <v>11.85</v>
      </c>
      <c r="H10" s="9">
        <v>25080073</v>
      </c>
    </row>
    <row r="11" ht="16.5" spans="1:8">
      <c r="A11" s="39" t="s">
        <v>2173</v>
      </c>
      <c r="B11" s="9">
        <v>295.8</v>
      </c>
      <c r="C11" s="10">
        <v>209.6</v>
      </c>
      <c r="D11" s="11">
        <v>5.19</v>
      </c>
      <c r="E11" s="12">
        <v>80.1</v>
      </c>
      <c r="F11" s="12">
        <v>95</v>
      </c>
      <c r="G11" s="11">
        <v>11.91</v>
      </c>
      <c r="H11" s="9">
        <v>25070333</v>
      </c>
    </row>
    <row r="12" ht="16.5" spans="1:8">
      <c r="A12" s="39" t="s">
        <v>2174</v>
      </c>
      <c r="B12" s="9">
        <v>500.6</v>
      </c>
      <c r="C12" s="10">
        <v>105.2</v>
      </c>
      <c r="D12" s="11">
        <v>2.93</v>
      </c>
      <c r="E12" s="12">
        <v>78.5</v>
      </c>
      <c r="F12" s="12">
        <v>96.1</v>
      </c>
      <c r="G12" s="11">
        <v>12.16</v>
      </c>
      <c r="H12" s="9">
        <v>25080027</v>
      </c>
    </row>
    <row r="13" ht="16.5" spans="1:8">
      <c r="A13" s="68" t="s">
        <v>2175</v>
      </c>
      <c r="B13" s="9">
        <v>341.4</v>
      </c>
      <c r="C13" s="10">
        <v>239.1</v>
      </c>
      <c r="D13" s="11">
        <v>4.52</v>
      </c>
      <c r="E13" s="12">
        <v>79.2</v>
      </c>
      <c r="F13" s="12">
        <v>93.3</v>
      </c>
      <c r="G13" s="11">
        <v>11.48</v>
      </c>
      <c r="H13" s="9">
        <v>25080115</v>
      </c>
    </row>
    <row r="14" ht="16.5" spans="1:8">
      <c r="A14" s="39" t="s">
        <v>2176</v>
      </c>
      <c r="B14" s="9">
        <v>788.2</v>
      </c>
      <c r="C14" s="10">
        <v>202.7</v>
      </c>
      <c r="D14" s="11">
        <v>5.02</v>
      </c>
      <c r="E14" s="12">
        <v>74.2</v>
      </c>
      <c r="F14" s="12">
        <v>91.6</v>
      </c>
      <c r="G14" s="11">
        <v>11.44</v>
      </c>
      <c r="H14" s="9">
        <v>25070170</v>
      </c>
    </row>
    <row r="15" ht="16.5" spans="1:8">
      <c r="A15" s="39" t="s">
        <v>2177</v>
      </c>
      <c r="B15" s="9">
        <v>773.8</v>
      </c>
      <c r="C15" s="10">
        <v>116.9</v>
      </c>
      <c r="D15" s="11">
        <v>3.09</v>
      </c>
      <c r="E15" s="12">
        <v>79.9</v>
      </c>
      <c r="F15" s="12">
        <v>96.2</v>
      </c>
      <c r="G15" s="11">
        <v>12.2</v>
      </c>
      <c r="H15" s="9">
        <v>25080025</v>
      </c>
    </row>
    <row r="16" ht="16.5" spans="1:8">
      <c r="A16" s="39" t="s">
        <v>2178</v>
      </c>
      <c r="B16" s="9">
        <v>794.2</v>
      </c>
      <c r="C16" s="10">
        <v>113</v>
      </c>
      <c r="D16" s="11">
        <v>2.96</v>
      </c>
      <c r="E16" s="12">
        <v>76.4</v>
      </c>
      <c r="F16" s="12">
        <v>94.8</v>
      </c>
      <c r="G16" s="11">
        <v>12.44</v>
      </c>
      <c r="H16" s="9">
        <v>25080015</v>
      </c>
    </row>
    <row r="17" ht="16.5" spans="1:8">
      <c r="A17" s="23" t="s">
        <v>2179</v>
      </c>
      <c r="B17" s="14">
        <v>652.6</v>
      </c>
      <c r="C17" s="15">
        <v>175.7</v>
      </c>
      <c r="D17" s="16">
        <v>4.49</v>
      </c>
      <c r="E17" s="17">
        <v>71.1</v>
      </c>
      <c r="F17" s="17">
        <v>91.1</v>
      </c>
      <c r="G17" s="25">
        <v>11.41</v>
      </c>
      <c r="H17" s="24">
        <v>25080024</v>
      </c>
    </row>
    <row r="18" ht="16.5" spans="1:8">
      <c r="A18" s="23" t="s">
        <v>2180</v>
      </c>
      <c r="B18" s="14">
        <v>247</v>
      </c>
      <c r="C18" s="15">
        <v>254</v>
      </c>
      <c r="D18" s="16">
        <v>4.46</v>
      </c>
      <c r="E18" s="17">
        <v>86.2</v>
      </c>
      <c r="F18" s="17">
        <v>96.6</v>
      </c>
      <c r="G18" s="25">
        <v>11.53</v>
      </c>
      <c r="H18" s="24">
        <v>25070016</v>
      </c>
    </row>
    <row r="19" ht="16.5" spans="1:8">
      <c r="A19" s="23" t="s">
        <v>2181</v>
      </c>
      <c r="B19" s="14">
        <v>389.2</v>
      </c>
      <c r="C19" s="15">
        <v>111.4</v>
      </c>
      <c r="D19" s="16">
        <v>3.03</v>
      </c>
      <c r="E19" s="17">
        <v>77.7</v>
      </c>
      <c r="F19" s="17">
        <v>95.7</v>
      </c>
      <c r="G19" s="25">
        <v>11.49</v>
      </c>
      <c r="H19" s="24">
        <v>25070324</v>
      </c>
    </row>
    <row r="20" ht="16.5" spans="1:8">
      <c r="A20" s="23" t="s">
        <v>2182</v>
      </c>
      <c r="B20" s="14">
        <v>262.6</v>
      </c>
      <c r="C20" s="15">
        <v>112.7</v>
      </c>
      <c r="D20" s="16">
        <v>3.03</v>
      </c>
      <c r="E20" s="17">
        <v>77.4</v>
      </c>
      <c r="F20" s="17">
        <v>95.3</v>
      </c>
      <c r="G20" s="25">
        <v>11.37</v>
      </c>
      <c r="H20" s="24">
        <v>25070325</v>
      </c>
    </row>
    <row r="21" ht="16.5" spans="1:8">
      <c r="A21" s="23" t="s">
        <v>2183</v>
      </c>
      <c r="B21" s="14">
        <v>416</v>
      </c>
      <c r="C21" s="15">
        <v>169.9</v>
      </c>
      <c r="D21" s="16">
        <v>4.57</v>
      </c>
      <c r="E21" s="17">
        <v>71.6</v>
      </c>
      <c r="F21" s="17">
        <v>91.4</v>
      </c>
      <c r="G21" s="16">
        <v>11.45</v>
      </c>
      <c r="H21" s="14">
        <v>25070159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 B9:B21 C3:C21"/>
  </dataValidations>
  <pageMargins left="0.75" right="0.75" top="1" bottom="1" header="0.5" footer="0.5"/>
  <pageSetup paperSize="9" orientation="portrait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K17" sqref="K17:K21"/>
    </sheetView>
  </sheetViews>
  <sheetFormatPr defaultColWidth="9" defaultRowHeight="13.5" outlineLevelCol="7"/>
  <cols>
    <col min="1" max="1" width="15.625" customWidth="1"/>
    <col min="2" max="2" width="9.375"/>
    <col min="8" max="8" width="9.375"/>
  </cols>
  <sheetData>
    <row r="1" ht="16.5" spans="1:8">
      <c r="A1" s="116">
        <v>907</v>
      </c>
      <c r="B1" s="2">
        <f>SUM(B3:B30)</f>
        <v>10084.32</v>
      </c>
      <c r="C1" s="3" cm="1">
        <f t="array" ref="C1">SUMPRODUCT(C3:C30*B3:B30)/B1</f>
        <v>151.936018293747</v>
      </c>
      <c r="D1" s="4" cm="1">
        <f t="array" ref="D1">SUMPRODUCT(B3:B30*D3:D30)/B1</f>
        <v>3.82342422691862</v>
      </c>
      <c r="E1" s="3" cm="1">
        <f t="array" ref="E1">SUMPRODUCT(B3:B30*E3:E30)/B1</f>
        <v>80.5909606200517</v>
      </c>
      <c r="F1" s="3" cm="1">
        <f t="array" ref="F1">SUMPRODUCT(B3:B30*F3:F30)/B1</f>
        <v>95.6240430688435</v>
      </c>
      <c r="G1" s="3" cm="1">
        <f t="array" ref="G1">SUMPRODUCT(B3:B30*G3:G30)/B1</f>
        <v>11.6610523862789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0" t="s">
        <v>2184</v>
      </c>
      <c r="B3" s="24">
        <v>650.2</v>
      </c>
      <c r="C3" s="28">
        <v>115.5</v>
      </c>
      <c r="D3" s="25">
        <v>3.06</v>
      </c>
      <c r="E3" s="29">
        <v>77.5</v>
      </c>
      <c r="F3" s="29">
        <v>94.8</v>
      </c>
      <c r="G3" s="25">
        <v>9.94</v>
      </c>
      <c r="H3" s="24">
        <v>25040066</v>
      </c>
    </row>
    <row r="4" ht="16.5" spans="1:8">
      <c r="A4" s="30" t="s">
        <v>2185</v>
      </c>
      <c r="B4" s="24">
        <v>517.2</v>
      </c>
      <c r="C4" s="28">
        <v>200.4</v>
      </c>
      <c r="D4" s="25">
        <v>4.72</v>
      </c>
      <c r="E4" s="29">
        <v>89.5</v>
      </c>
      <c r="F4" s="29">
        <v>98.6</v>
      </c>
      <c r="G4" s="25">
        <v>11.77</v>
      </c>
      <c r="H4" s="24">
        <v>25040092</v>
      </c>
    </row>
    <row r="5" ht="16.5" spans="1:8">
      <c r="A5" s="30" t="s">
        <v>2186</v>
      </c>
      <c r="B5" s="24">
        <v>241.2</v>
      </c>
      <c r="C5" s="28">
        <v>219.9</v>
      </c>
      <c r="D5" s="25">
        <v>3.77</v>
      </c>
      <c r="E5" s="29">
        <v>86.4</v>
      </c>
      <c r="F5" s="29">
        <v>97.6</v>
      </c>
      <c r="G5" s="25">
        <v>10.68</v>
      </c>
      <c r="H5" s="24">
        <v>25040159</v>
      </c>
    </row>
    <row r="6" ht="16.5" spans="1:8">
      <c r="A6" s="30" t="s">
        <v>2187</v>
      </c>
      <c r="B6" s="24">
        <v>510.4</v>
      </c>
      <c r="C6" s="28">
        <v>171.8</v>
      </c>
      <c r="D6" s="25">
        <v>4.11</v>
      </c>
      <c r="E6" s="29">
        <v>83.1</v>
      </c>
      <c r="F6" s="29">
        <v>96.6</v>
      </c>
      <c r="G6" s="25">
        <v>12</v>
      </c>
      <c r="H6" s="24">
        <v>25040172</v>
      </c>
    </row>
    <row r="7" ht="16.5" spans="1:8">
      <c r="A7" s="30" t="s">
        <v>2188</v>
      </c>
      <c r="B7" s="24">
        <v>469.8</v>
      </c>
      <c r="C7" s="28">
        <v>207.5</v>
      </c>
      <c r="D7" s="25">
        <v>5.35</v>
      </c>
      <c r="E7" s="29">
        <v>84</v>
      </c>
      <c r="F7" s="29">
        <v>95.8</v>
      </c>
      <c r="G7" s="25">
        <v>12.34</v>
      </c>
      <c r="H7" s="136">
        <v>25040264</v>
      </c>
    </row>
    <row r="8" ht="16.5" spans="1:8">
      <c r="A8" s="30" t="s">
        <v>2189</v>
      </c>
      <c r="B8" s="24">
        <v>504.4</v>
      </c>
      <c r="C8" s="28">
        <v>163.6</v>
      </c>
      <c r="D8" s="25">
        <v>4.49</v>
      </c>
      <c r="E8" s="29">
        <v>74.2</v>
      </c>
      <c r="F8" s="29">
        <v>92.6</v>
      </c>
      <c r="G8" s="25">
        <v>12.06</v>
      </c>
      <c r="H8" s="24">
        <v>25050064</v>
      </c>
    </row>
    <row r="9" ht="16.5" spans="1:8">
      <c r="A9" s="30" t="s">
        <v>2190</v>
      </c>
      <c r="B9" s="24">
        <v>789.2</v>
      </c>
      <c r="C9" s="28">
        <v>126.7</v>
      </c>
      <c r="D9" s="25">
        <v>3.4</v>
      </c>
      <c r="E9" s="29">
        <v>81.4</v>
      </c>
      <c r="F9" s="29">
        <v>96.2</v>
      </c>
      <c r="G9" s="25">
        <v>12.26</v>
      </c>
      <c r="H9" s="24">
        <v>25050224</v>
      </c>
    </row>
    <row r="10" ht="16.5" spans="1:8">
      <c r="A10" s="30" t="s">
        <v>2191</v>
      </c>
      <c r="B10" s="24">
        <v>646.4</v>
      </c>
      <c r="C10" s="28">
        <v>128.3</v>
      </c>
      <c r="D10" s="25">
        <v>3.21</v>
      </c>
      <c r="E10" s="29">
        <v>79.6</v>
      </c>
      <c r="F10" s="29">
        <v>95</v>
      </c>
      <c r="G10" s="25">
        <v>11.29</v>
      </c>
      <c r="H10" s="24">
        <v>25060135</v>
      </c>
    </row>
    <row r="11" ht="16.5" spans="1:8">
      <c r="A11" s="30" t="s">
        <v>2192</v>
      </c>
      <c r="B11" s="24">
        <v>506.4</v>
      </c>
      <c r="C11" s="28">
        <v>130.4</v>
      </c>
      <c r="D11" s="25">
        <v>3.49</v>
      </c>
      <c r="E11" s="29">
        <v>81.5</v>
      </c>
      <c r="F11" s="29">
        <v>96.4</v>
      </c>
      <c r="G11" s="25">
        <v>11.72</v>
      </c>
      <c r="H11" s="24">
        <v>25070059</v>
      </c>
    </row>
    <row r="12" ht="16.5" spans="1:8">
      <c r="A12" s="30" t="s">
        <v>2193</v>
      </c>
      <c r="B12" s="24">
        <v>819.6</v>
      </c>
      <c r="C12" s="28">
        <v>140.6</v>
      </c>
      <c r="D12" s="25">
        <v>3.53</v>
      </c>
      <c r="E12" s="29">
        <v>80.7</v>
      </c>
      <c r="F12" s="29">
        <v>95.6</v>
      </c>
      <c r="G12" s="25">
        <v>12.52</v>
      </c>
      <c r="H12" s="24">
        <v>25070183</v>
      </c>
    </row>
    <row r="13" ht="16.5" spans="1:8">
      <c r="A13" s="30" t="s">
        <v>2194</v>
      </c>
      <c r="B13" s="24">
        <v>354.8</v>
      </c>
      <c r="C13" s="28">
        <v>133.7</v>
      </c>
      <c r="D13" s="25">
        <v>3.58</v>
      </c>
      <c r="E13" s="29">
        <v>78.9</v>
      </c>
      <c r="F13" s="29">
        <v>94.5</v>
      </c>
      <c r="G13" s="25">
        <v>11.4</v>
      </c>
      <c r="H13" s="24">
        <v>25070278</v>
      </c>
    </row>
    <row r="14" ht="16.5" spans="1:8">
      <c r="A14" s="30" t="s">
        <v>2195</v>
      </c>
      <c r="B14" s="24">
        <v>627.6</v>
      </c>
      <c r="C14" s="28">
        <v>118.3</v>
      </c>
      <c r="D14" s="25">
        <v>3.34</v>
      </c>
      <c r="E14" s="29">
        <v>80.8</v>
      </c>
      <c r="F14" s="29">
        <v>97.3</v>
      </c>
      <c r="G14" s="25">
        <v>11.91</v>
      </c>
      <c r="H14" s="24">
        <v>25070323</v>
      </c>
    </row>
    <row r="15" ht="16.5" spans="1:8">
      <c r="A15" s="30" t="s">
        <v>2196</v>
      </c>
      <c r="B15" s="24">
        <v>477.2</v>
      </c>
      <c r="C15" s="28">
        <v>144.8</v>
      </c>
      <c r="D15" s="25">
        <v>3.09</v>
      </c>
      <c r="E15" s="29">
        <v>78.9</v>
      </c>
      <c r="F15" s="29">
        <v>94.5</v>
      </c>
      <c r="G15" s="25">
        <v>10.47</v>
      </c>
      <c r="H15" s="24">
        <v>25070342</v>
      </c>
    </row>
    <row r="16" ht="16.5" spans="1:8">
      <c r="A16" s="30" t="s">
        <v>2197</v>
      </c>
      <c r="B16" s="24">
        <v>190.8</v>
      </c>
      <c r="C16" s="28">
        <v>147.3</v>
      </c>
      <c r="D16" s="25">
        <v>3.09</v>
      </c>
      <c r="E16" s="29">
        <v>78.3</v>
      </c>
      <c r="F16" s="29">
        <v>94.6</v>
      </c>
      <c r="G16" s="25">
        <v>9.23</v>
      </c>
      <c r="H16" s="24">
        <v>25070343</v>
      </c>
    </row>
    <row r="17" ht="16.5" spans="1:8">
      <c r="A17" s="30" t="s">
        <v>2198</v>
      </c>
      <c r="B17" s="24">
        <v>239</v>
      </c>
      <c r="C17" s="28">
        <v>124.2</v>
      </c>
      <c r="D17" s="25">
        <v>3.36</v>
      </c>
      <c r="E17" s="29">
        <v>77.4</v>
      </c>
      <c r="F17" s="29">
        <v>94.7</v>
      </c>
      <c r="G17" s="25">
        <v>11.15</v>
      </c>
      <c r="H17" s="24">
        <v>25070352</v>
      </c>
    </row>
    <row r="18" ht="16.5" spans="1:8">
      <c r="A18" s="30" t="s">
        <v>2199</v>
      </c>
      <c r="B18" s="24">
        <v>318.4</v>
      </c>
      <c r="C18" s="28">
        <v>158.4</v>
      </c>
      <c r="D18" s="25">
        <v>4.29</v>
      </c>
      <c r="E18" s="29">
        <v>79.1</v>
      </c>
      <c r="F18" s="29">
        <v>95</v>
      </c>
      <c r="G18" s="25">
        <v>10.2</v>
      </c>
      <c r="H18" s="24">
        <v>25080055</v>
      </c>
    </row>
    <row r="19" ht="16.5" spans="1:8">
      <c r="A19" s="23" t="s">
        <v>2200</v>
      </c>
      <c r="B19" s="14">
        <v>845.4</v>
      </c>
      <c r="C19" s="15">
        <v>113.2</v>
      </c>
      <c r="D19" s="16">
        <v>3.28</v>
      </c>
      <c r="E19" s="17">
        <v>80.7</v>
      </c>
      <c r="F19" s="17">
        <v>97</v>
      </c>
      <c r="G19" s="25">
        <v>12.09</v>
      </c>
      <c r="H19" s="24">
        <v>25070322</v>
      </c>
    </row>
    <row r="20" ht="16.5" spans="1:8">
      <c r="A20" s="23" t="s">
        <v>2201</v>
      </c>
      <c r="B20" s="14">
        <v>483.4</v>
      </c>
      <c r="C20" s="15">
        <v>225.2</v>
      </c>
      <c r="D20" s="16">
        <v>4.61</v>
      </c>
      <c r="E20" s="17">
        <v>88.8</v>
      </c>
      <c r="F20" s="17">
        <v>98.1</v>
      </c>
      <c r="G20" s="25">
        <v>11.6</v>
      </c>
      <c r="H20" s="24">
        <v>25040222</v>
      </c>
    </row>
    <row r="21" ht="16.5" spans="1:8">
      <c r="A21" s="137" t="s">
        <v>2202</v>
      </c>
      <c r="B21" s="138">
        <v>521.6</v>
      </c>
      <c r="C21" s="139">
        <v>178.8</v>
      </c>
      <c r="D21" s="140">
        <v>5.02</v>
      </c>
      <c r="E21" s="141">
        <v>69.8</v>
      </c>
      <c r="F21" s="141">
        <v>90.5</v>
      </c>
      <c r="G21" s="142">
        <v>13.25</v>
      </c>
      <c r="H21" s="24">
        <v>25030321</v>
      </c>
    </row>
    <row r="22" ht="16.5" spans="1:8">
      <c r="A22" s="55">
        <v>20250816</v>
      </c>
      <c r="B22" s="56">
        <v>45.2</v>
      </c>
      <c r="C22" s="1">
        <v>151.3</v>
      </c>
      <c r="D22" s="1">
        <v>3.81</v>
      </c>
      <c r="E22" s="2">
        <v>77.8</v>
      </c>
      <c r="F22" s="2">
        <v>93.9</v>
      </c>
      <c r="G22" s="51">
        <v>11.09</v>
      </c>
    </row>
    <row r="23" ht="16.5" spans="1:8">
      <c r="A23" s="55">
        <v>20250817</v>
      </c>
      <c r="B23" s="56">
        <v>49</v>
      </c>
      <c r="C23" s="1">
        <v>154.2</v>
      </c>
      <c r="D23" s="1">
        <v>3.85</v>
      </c>
      <c r="E23" s="2">
        <v>76.7</v>
      </c>
      <c r="F23" s="2">
        <v>93.7</v>
      </c>
      <c r="G23" s="51">
        <v>11.21</v>
      </c>
    </row>
    <row r="24" ht="16.5" spans="1:8">
      <c r="A24" s="7">
        <v>20250819</v>
      </c>
      <c r="B24" s="7">
        <v>47.4</v>
      </c>
      <c r="C24" s="1">
        <v>215.6</v>
      </c>
      <c r="D24" s="1">
        <v>4.91</v>
      </c>
      <c r="E24" s="2">
        <v>81.8</v>
      </c>
      <c r="F24" s="2">
        <v>94.7</v>
      </c>
      <c r="G24" s="51">
        <v>11.84</v>
      </c>
    </row>
    <row r="25" ht="16.5" spans="1:8">
      <c r="A25" s="7">
        <v>20250820</v>
      </c>
      <c r="B25" s="9">
        <v>81.3</v>
      </c>
      <c r="C25" s="1">
        <v>206.4</v>
      </c>
      <c r="D25" s="1">
        <v>4.79</v>
      </c>
      <c r="E25" s="2">
        <v>82.1</v>
      </c>
      <c r="F25" s="2">
        <v>95</v>
      </c>
      <c r="G25" s="51">
        <v>11.87</v>
      </c>
    </row>
    <row r="26" ht="16.5" spans="1:8">
      <c r="A26" s="8">
        <v>20250902</v>
      </c>
      <c r="B26" s="9">
        <v>4.92</v>
      </c>
      <c r="C26" s="1">
        <v>137.4</v>
      </c>
      <c r="D26" s="1">
        <v>3.37</v>
      </c>
      <c r="E26" s="2">
        <v>76.3</v>
      </c>
      <c r="F26" s="2">
        <v>93.5</v>
      </c>
      <c r="G26" s="51">
        <v>11.29</v>
      </c>
    </row>
    <row r="27" ht="16.5" spans="1:8">
      <c r="A27" s="8">
        <v>20250903</v>
      </c>
      <c r="B27" s="9">
        <v>32.7</v>
      </c>
      <c r="C27" s="1">
        <v>215.8</v>
      </c>
      <c r="D27" s="1">
        <v>4.86</v>
      </c>
      <c r="E27" s="2">
        <v>83.1</v>
      </c>
      <c r="F27" s="2">
        <v>95.9</v>
      </c>
      <c r="G27" s="51">
        <v>11.6</v>
      </c>
    </row>
    <row r="28" ht="16.5" spans="1:8">
      <c r="A28" s="8">
        <v>20250904</v>
      </c>
      <c r="B28" s="9">
        <v>110.8</v>
      </c>
      <c r="C28" s="1">
        <v>203.5</v>
      </c>
      <c r="D28" s="1">
        <v>4.91</v>
      </c>
      <c r="E28" s="2">
        <v>84.1</v>
      </c>
      <c r="F28" s="2">
        <v>96.7</v>
      </c>
      <c r="G28" s="51">
        <v>12.2</v>
      </c>
    </row>
  </sheetData>
  <conditionalFormatting sqref="C22">
    <cfRule type="expression" dxfId="3" priority="61">
      <formula>#REF!&lt;$AF22</formula>
    </cfRule>
    <cfRule type="expression" dxfId="2" priority="63">
      <formula>AND(MOD(ROW(),2)=1,#REF!&lt;&gt;"")</formula>
    </cfRule>
  </conditionalFormatting>
  <conditionalFormatting sqref="D22">
    <cfRule type="expression" dxfId="4" priority="60">
      <formula>#REF!&lt;$AG22</formula>
    </cfRule>
    <cfRule type="expression" dxfId="2" priority="62">
      <formula>AND(MOD(ROW(),2)=1,#REF!&lt;&gt;"")</formula>
    </cfRule>
  </conditionalFormatting>
  <conditionalFormatting sqref="E22">
    <cfRule type="expression" dxfId="4" priority="57">
      <formula>$B22&lt;$AH22</formula>
    </cfRule>
  </conditionalFormatting>
  <conditionalFormatting sqref="E22:G22">
    <cfRule type="expression" dxfId="2" priority="59">
      <formula>AND(MOD(ROW(),2)=1,#REF!&lt;&gt;"")</formula>
    </cfRule>
  </conditionalFormatting>
  <conditionalFormatting sqref="F22">
    <cfRule type="expression" dxfId="4" priority="56">
      <formula>$C22&lt;$AI22</formula>
    </cfRule>
    <cfRule type="expression" dxfId="1" priority="58">
      <formula>F22:F25&lt;AL22:AL770</formula>
    </cfRule>
  </conditionalFormatting>
  <conditionalFormatting sqref="G22">
    <cfRule type="expression" dxfId="4" priority="55">
      <formula>$E22&gt;$AJ22</formula>
    </cfRule>
  </conditionalFormatting>
  <conditionalFormatting sqref="C23">
    <cfRule type="expression" dxfId="3" priority="52">
      <formula>#REF!&lt;$AF23</formula>
    </cfRule>
    <cfRule type="expression" dxfId="2" priority="54">
      <formula>AND(MOD(ROW(),2)=1,#REF!&lt;&gt;"")</formula>
    </cfRule>
  </conditionalFormatting>
  <conditionalFormatting sqref="D23">
    <cfRule type="expression" dxfId="4" priority="51">
      <formula>#REF!&lt;$AG23</formula>
    </cfRule>
    <cfRule type="expression" dxfId="2" priority="53">
      <formula>AND(MOD(ROW(),2)=1,#REF!&lt;&gt;"")</formula>
    </cfRule>
  </conditionalFormatting>
  <conditionalFormatting sqref="E23">
    <cfRule type="expression" dxfId="4" priority="48">
      <formula>$B23&lt;$AH23</formula>
    </cfRule>
  </conditionalFormatting>
  <conditionalFormatting sqref="E23:G23">
    <cfRule type="expression" dxfId="2" priority="50">
      <formula>AND(MOD(ROW(),2)=1,#REF!&lt;&gt;"")</formula>
    </cfRule>
  </conditionalFormatting>
  <conditionalFormatting sqref="F23">
    <cfRule type="expression" dxfId="4" priority="47">
      <formula>$C23&lt;$AI23</formula>
    </cfRule>
    <cfRule type="expression" dxfId="1" priority="49">
      <formula>F23:F26&lt;AL23:AL771</formula>
    </cfRule>
  </conditionalFormatting>
  <conditionalFormatting sqref="G23">
    <cfRule type="expression" dxfId="4" priority="46">
      <formula>$E23&gt;$AJ23</formula>
    </cfRule>
  </conditionalFormatting>
  <conditionalFormatting sqref="C24">
    <cfRule type="expression" dxfId="3" priority="43">
      <formula>#REF!&lt;$AF24</formula>
    </cfRule>
    <cfRule type="expression" dxfId="2" priority="45">
      <formula>AND(MOD(ROW(),2)=1,#REF!&lt;&gt;"")</formula>
    </cfRule>
  </conditionalFormatting>
  <conditionalFormatting sqref="D24">
    <cfRule type="expression" dxfId="4" priority="42">
      <formula>#REF!&lt;$AG24</formula>
    </cfRule>
    <cfRule type="expression" dxfId="2" priority="44">
      <formula>AND(MOD(ROW(),2)=1,#REF!&lt;&gt;"")</formula>
    </cfRule>
  </conditionalFormatting>
  <conditionalFormatting sqref="E24">
    <cfRule type="expression" dxfId="4" priority="39">
      <formula>$B24&lt;$AH24</formula>
    </cfRule>
  </conditionalFormatting>
  <conditionalFormatting sqref="E24:G24">
    <cfRule type="expression" dxfId="2" priority="41">
      <formula>AND(MOD(ROW(),2)=1,#REF!&lt;&gt;"")</formula>
    </cfRule>
  </conditionalFormatting>
  <conditionalFormatting sqref="F24">
    <cfRule type="expression" dxfId="4" priority="38">
      <formula>$C24&lt;$AI24</formula>
    </cfRule>
    <cfRule type="expression" dxfId="1" priority="40">
      <formula>F24:F27&lt;AL24:AL772</formula>
    </cfRule>
  </conditionalFormatting>
  <conditionalFormatting sqref="G24">
    <cfRule type="expression" dxfId="4" priority="37">
      <formula>$E24&gt;$AJ24</formula>
    </cfRule>
  </conditionalFormatting>
  <conditionalFormatting sqref="C25">
    <cfRule type="expression" dxfId="3" priority="34">
      <formula>#REF!&lt;$AF25</formula>
    </cfRule>
    <cfRule type="expression" dxfId="2" priority="36">
      <formula>AND(MOD(ROW(),2)=1,#REF!&lt;&gt;"")</formula>
    </cfRule>
  </conditionalFormatting>
  <conditionalFormatting sqref="D25">
    <cfRule type="expression" dxfId="4" priority="33">
      <formula>#REF!&lt;$AG25</formula>
    </cfRule>
    <cfRule type="expression" dxfId="2" priority="35">
      <formula>AND(MOD(ROW(),2)=1,#REF!&lt;&gt;"")</formula>
    </cfRule>
  </conditionalFormatting>
  <conditionalFormatting sqref="E25">
    <cfRule type="expression" dxfId="4" priority="30">
      <formula>$B25&lt;$AH25</formula>
    </cfRule>
  </conditionalFormatting>
  <conditionalFormatting sqref="E25:G25">
    <cfRule type="expression" dxfId="2" priority="32">
      <formula>AND(MOD(ROW(),2)=1,#REF!&lt;&gt;"")</formula>
    </cfRule>
  </conditionalFormatting>
  <conditionalFormatting sqref="F25">
    <cfRule type="expression" dxfId="4" priority="29">
      <formula>$C25&lt;$AI25</formula>
    </cfRule>
    <cfRule type="expression" dxfId="1" priority="31">
      <formula>F25:F28&lt;AL25:AL773</formula>
    </cfRule>
  </conditionalFormatting>
  <conditionalFormatting sqref="G25">
    <cfRule type="expression" dxfId="4" priority="28">
      <formula>$E25&gt;$AJ25</formula>
    </cfRule>
  </conditionalFormatting>
  <conditionalFormatting sqref="C26">
    <cfRule type="expression" dxfId="3" priority="25">
      <formula>#REF!&lt;$AF26</formula>
    </cfRule>
    <cfRule type="expression" dxfId="2" priority="27">
      <formula>AND(MOD(ROW(),2)=1,#REF!&lt;&gt;"")</formula>
    </cfRule>
  </conditionalFormatting>
  <conditionalFormatting sqref="D26">
    <cfRule type="expression" dxfId="4" priority="24">
      <formula>#REF!&lt;$AG26</formula>
    </cfRule>
    <cfRule type="expression" dxfId="2" priority="26">
      <formula>AND(MOD(ROW(),2)=1,#REF!&lt;&gt;"")</formula>
    </cfRule>
  </conditionalFormatting>
  <conditionalFormatting sqref="E26">
    <cfRule type="expression" dxfId="4" priority="21">
      <formula>$B26&lt;$AH26</formula>
    </cfRule>
  </conditionalFormatting>
  <conditionalFormatting sqref="E26:G26">
    <cfRule type="expression" dxfId="2" priority="23">
      <formula>AND(MOD(ROW(),2)=1,#REF!&lt;&gt;"")</formula>
    </cfRule>
  </conditionalFormatting>
  <conditionalFormatting sqref="F26">
    <cfRule type="expression" dxfId="4" priority="20">
      <formula>$C26&lt;$AI26</formula>
    </cfRule>
    <cfRule type="expression" dxfId="1" priority="22">
      <formula>F26:F29&lt;AL26:AL774</formula>
    </cfRule>
  </conditionalFormatting>
  <conditionalFormatting sqref="G26">
    <cfRule type="expression" dxfId="4" priority="19">
      <formula>$E26&gt;$AJ26</formula>
    </cfRule>
  </conditionalFormatting>
  <conditionalFormatting sqref="C27">
    <cfRule type="expression" dxfId="3" priority="16">
      <formula>#REF!&lt;$AF27</formula>
    </cfRule>
    <cfRule type="expression" dxfId="2" priority="18">
      <formula>AND(MOD(ROW(),2)=1,#REF!&lt;&gt;"")</formula>
    </cfRule>
  </conditionalFormatting>
  <conditionalFormatting sqref="D27">
    <cfRule type="expression" dxfId="4" priority="15">
      <formula>#REF!&lt;$AG27</formula>
    </cfRule>
    <cfRule type="expression" dxfId="2" priority="17">
      <formula>AND(MOD(ROW(),2)=1,#REF!&lt;&gt;"")</formula>
    </cfRule>
  </conditionalFormatting>
  <conditionalFormatting sqref="E27">
    <cfRule type="expression" dxfId="4" priority="12">
      <formula>$B27&lt;$AH27</formula>
    </cfRule>
  </conditionalFormatting>
  <conditionalFormatting sqref="E27:G27">
    <cfRule type="expression" dxfId="2" priority="14">
      <formula>AND(MOD(ROW(),2)=1,#REF!&lt;&gt;"")</formula>
    </cfRule>
  </conditionalFormatting>
  <conditionalFormatting sqref="F27">
    <cfRule type="expression" dxfId="4" priority="11">
      <formula>$C27&lt;$AI27</formula>
    </cfRule>
    <cfRule type="expression" dxfId="1" priority="13">
      <formula>F27:F30&lt;AL27:AL775</formula>
    </cfRule>
  </conditionalFormatting>
  <conditionalFormatting sqref="G27">
    <cfRule type="expression" dxfId="4" priority="10">
      <formula>$E27&gt;$AJ27</formula>
    </cfRule>
  </conditionalFormatting>
  <conditionalFormatting sqref="C28">
    <cfRule type="expression" dxfId="3" priority="7">
      <formula>#REF!&lt;$AF28</formula>
    </cfRule>
    <cfRule type="expression" dxfId="2" priority="9">
      <formula>AND(MOD(ROW(),2)=1,#REF!&lt;&gt;"")</formula>
    </cfRule>
  </conditionalFormatting>
  <conditionalFormatting sqref="D28">
    <cfRule type="expression" dxfId="4" priority="6">
      <formula>#REF!&lt;$AG28</formula>
    </cfRule>
    <cfRule type="expression" dxfId="2" priority="8">
      <formula>AND(MOD(ROW(),2)=1,#REF!&lt;&gt;"")</formula>
    </cfRule>
  </conditionalFormatting>
  <conditionalFormatting sqref="E28">
    <cfRule type="expression" dxfId="4" priority="3">
      <formula>$B28&lt;$AH28</formula>
    </cfRule>
  </conditionalFormatting>
  <conditionalFormatting sqref="E28:G28">
    <cfRule type="expression" dxfId="2" priority="5">
      <formula>AND(MOD(ROW(),2)=1,#REF!&lt;&gt;"")</formula>
    </cfRule>
  </conditionalFormatting>
  <conditionalFormatting sqref="F28">
    <cfRule type="expression" dxfId="4" priority="2">
      <formula>$C28&lt;$AI28</formula>
    </cfRule>
    <cfRule type="expression" dxfId="1" priority="4">
      <formula>F28:F31&lt;AL28:AL776</formula>
    </cfRule>
  </conditionalFormatting>
  <conditionalFormatting sqref="G28">
    <cfRule type="expression" dxfId="4" priority="1">
      <formula>$E28&gt;$AJ28</formula>
    </cfRule>
  </conditionalFormatting>
  <conditionalFormatting sqref="A1:A2">
    <cfRule type="duplicateValues" dxfId="0" priority="66"/>
  </conditionalFormatting>
  <conditionalFormatting sqref="A22:A23">
    <cfRule type="duplicateValues" dxfId="0" priority="64"/>
  </conditionalFormatting>
  <conditionalFormatting sqref="A24:A25">
    <cfRule type="duplicateValues" dxfId="0" priority="65"/>
  </conditionalFormatting>
  <dataValidations count="1">
    <dataValidation allowBlank="1" showInputMessage="1" showErrorMessage="1" sqref="B23 B3:B20 B25:B28 C3:C28"/>
  </dataValidations>
  <pageMargins left="0.75" right="0.75" top="1" bottom="1" header="0.5" footer="0.5"/>
  <pageSetup paperSize="9" orientation="portrait"/>
  <headerFooter/>
  <legacy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N18" sqref="N18"/>
    </sheetView>
  </sheetViews>
  <sheetFormatPr defaultColWidth="9" defaultRowHeight="13.5" outlineLevelCol="7"/>
  <cols>
    <col min="1" max="1" width="15.625" customWidth="1"/>
    <col min="3" max="3" width="9" style="135"/>
    <col min="8" max="8" width="9.375"/>
  </cols>
  <sheetData>
    <row r="1" ht="16.5" spans="1:8">
      <c r="A1" s="116">
        <v>908</v>
      </c>
      <c r="B1" s="2">
        <f>SUM(B3:B30)</f>
        <v>9949.2</v>
      </c>
      <c r="C1" s="3" cm="1">
        <f t="array" ref="C1">SUMPRODUCT(C3:C30*B3:B30)/B1</f>
        <v>150.892501909701</v>
      </c>
      <c r="D1" s="4" cm="1">
        <f t="array" ref="D1">SUMPRODUCT(B3:B30*D3:D30)/B1</f>
        <v>3.80833293129096</v>
      </c>
      <c r="E1" s="3" cm="1">
        <f t="array" ref="E1">SUMPRODUCT(B3:B30*E3:E30)/B1</f>
        <v>80.2807823744623</v>
      </c>
      <c r="F1" s="3" cm="1">
        <f t="array" ref="F1">SUMPRODUCT(B3:B30*F3:F30)/B1</f>
        <v>95.3343123065171</v>
      </c>
      <c r="G1" s="3" cm="1">
        <f t="array" ref="G1">SUMPRODUCT(B3:B30*G3:G30)/B1</f>
        <v>11.5040556024605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132" t="s">
        <v>2203</v>
      </c>
      <c r="B3" s="24">
        <v>581.2</v>
      </c>
      <c r="C3" s="28">
        <v>127.3</v>
      </c>
      <c r="D3" s="25">
        <v>4.03</v>
      </c>
      <c r="E3" s="29">
        <v>66.9</v>
      </c>
      <c r="F3" s="29">
        <v>88.2</v>
      </c>
      <c r="G3" s="25">
        <v>11.67</v>
      </c>
      <c r="H3" s="24">
        <v>24050145</v>
      </c>
    </row>
    <row r="4" ht="16.5" spans="1:8">
      <c r="A4" s="132" t="s">
        <v>1067</v>
      </c>
      <c r="B4" s="24">
        <v>521.8</v>
      </c>
      <c r="C4" s="28">
        <v>134.9</v>
      </c>
      <c r="D4" s="25">
        <v>3.49</v>
      </c>
      <c r="E4" s="29">
        <v>82.6</v>
      </c>
      <c r="F4" s="29">
        <v>95.5</v>
      </c>
      <c r="G4" s="25">
        <v>12.49</v>
      </c>
      <c r="H4" s="24">
        <v>24110485</v>
      </c>
    </row>
    <row r="5" ht="16.5" spans="1:8">
      <c r="A5" s="30" t="s">
        <v>2204</v>
      </c>
      <c r="B5" s="24">
        <v>488.6</v>
      </c>
      <c r="C5" s="28">
        <v>207.8</v>
      </c>
      <c r="D5" s="25">
        <v>5.11</v>
      </c>
      <c r="E5" s="29">
        <v>79.5</v>
      </c>
      <c r="F5" s="29">
        <v>94.5</v>
      </c>
      <c r="G5" s="25">
        <v>11.5</v>
      </c>
      <c r="H5" s="24">
        <v>25020163</v>
      </c>
    </row>
    <row r="6" ht="16.5" spans="1:8">
      <c r="A6" s="30" t="s">
        <v>2205</v>
      </c>
      <c r="B6" s="24">
        <v>427.6</v>
      </c>
      <c r="C6" s="28">
        <v>138.4</v>
      </c>
      <c r="D6" s="25">
        <v>3.43</v>
      </c>
      <c r="E6" s="29">
        <v>76.4</v>
      </c>
      <c r="F6" s="29">
        <v>93.6</v>
      </c>
      <c r="G6" s="25">
        <v>10.36</v>
      </c>
      <c r="H6" s="24">
        <v>25040012</v>
      </c>
    </row>
    <row r="7" ht="16.5" spans="1:8">
      <c r="A7" s="30" t="s">
        <v>2206</v>
      </c>
      <c r="B7" s="24">
        <v>522.2</v>
      </c>
      <c r="C7" s="28">
        <v>136.9</v>
      </c>
      <c r="D7" s="25">
        <v>3.34</v>
      </c>
      <c r="E7" s="29">
        <v>76.7</v>
      </c>
      <c r="F7" s="29">
        <v>93.5</v>
      </c>
      <c r="G7" s="25">
        <v>10.86</v>
      </c>
      <c r="H7" s="24">
        <v>25040011</v>
      </c>
    </row>
    <row r="8" ht="16.5" spans="1:8">
      <c r="A8" s="30" t="s">
        <v>2207</v>
      </c>
      <c r="B8" s="24">
        <v>509.2</v>
      </c>
      <c r="C8" s="28">
        <v>115</v>
      </c>
      <c r="D8" s="25">
        <v>3.09</v>
      </c>
      <c r="E8" s="29">
        <v>78.1</v>
      </c>
      <c r="F8" s="29">
        <v>95</v>
      </c>
      <c r="G8" s="25">
        <v>10.54</v>
      </c>
      <c r="H8" s="24">
        <v>25040065</v>
      </c>
    </row>
    <row r="9" ht="16.5" spans="1:8">
      <c r="A9" s="132" t="s">
        <v>2208</v>
      </c>
      <c r="B9" s="24">
        <v>500.8</v>
      </c>
      <c r="C9" s="28">
        <v>200.5</v>
      </c>
      <c r="D9" s="25">
        <v>4.66</v>
      </c>
      <c r="E9" s="29">
        <v>86.4</v>
      </c>
      <c r="F9" s="29">
        <v>97.7</v>
      </c>
      <c r="G9" s="25">
        <v>11.03</v>
      </c>
      <c r="H9" s="24">
        <v>25040116</v>
      </c>
    </row>
    <row r="10" ht="16.5" spans="1:8">
      <c r="A10" s="30" t="s">
        <v>2209</v>
      </c>
      <c r="B10" s="24">
        <v>548.2</v>
      </c>
      <c r="C10" s="28">
        <v>211.2</v>
      </c>
      <c r="D10" s="25">
        <v>4.23</v>
      </c>
      <c r="E10" s="29">
        <v>90.6</v>
      </c>
      <c r="F10" s="29">
        <v>99.3</v>
      </c>
      <c r="G10" s="25">
        <v>11.43</v>
      </c>
      <c r="H10" s="24">
        <v>25040129</v>
      </c>
    </row>
    <row r="11" ht="16.5" spans="1:8">
      <c r="A11" s="30" t="s">
        <v>2210</v>
      </c>
      <c r="B11" s="24">
        <v>514.2</v>
      </c>
      <c r="C11" s="28">
        <v>172</v>
      </c>
      <c r="D11" s="25">
        <v>4.57</v>
      </c>
      <c r="E11" s="29">
        <v>77.3</v>
      </c>
      <c r="F11" s="29">
        <v>94</v>
      </c>
      <c r="G11" s="25">
        <v>10.99</v>
      </c>
      <c r="H11" s="24">
        <v>25040305</v>
      </c>
    </row>
    <row r="12" ht="16.5" spans="1:8">
      <c r="A12" s="132" t="s">
        <v>2211</v>
      </c>
      <c r="B12" s="24">
        <v>311.2</v>
      </c>
      <c r="C12" s="28">
        <v>203.4</v>
      </c>
      <c r="D12" s="25">
        <v>4.43</v>
      </c>
      <c r="E12" s="29">
        <v>88.6</v>
      </c>
      <c r="F12" s="29">
        <v>98</v>
      </c>
      <c r="G12" s="25">
        <v>11.67</v>
      </c>
      <c r="H12" s="24">
        <v>25040299</v>
      </c>
    </row>
    <row r="13" ht="16.5" spans="1:8">
      <c r="A13" s="30" t="s">
        <v>2212</v>
      </c>
      <c r="B13" s="24">
        <v>517.2</v>
      </c>
      <c r="C13" s="28">
        <v>122.7</v>
      </c>
      <c r="D13" s="25">
        <v>3.15</v>
      </c>
      <c r="E13" s="29">
        <v>82.2</v>
      </c>
      <c r="F13" s="29">
        <v>96.6</v>
      </c>
      <c r="G13" s="25">
        <v>11.91</v>
      </c>
      <c r="H13" s="24">
        <v>25050045</v>
      </c>
    </row>
    <row r="14" ht="16.5" spans="1:8">
      <c r="A14" s="30" t="s">
        <v>2213</v>
      </c>
      <c r="B14" s="24">
        <v>496.2</v>
      </c>
      <c r="C14" s="28">
        <v>135.5</v>
      </c>
      <c r="D14" s="25">
        <v>3.49</v>
      </c>
      <c r="E14" s="29">
        <v>79.5</v>
      </c>
      <c r="F14" s="29">
        <v>95.4</v>
      </c>
      <c r="G14" s="25">
        <v>11.15</v>
      </c>
      <c r="H14" s="24">
        <v>25060152</v>
      </c>
    </row>
    <row r="15" ht="16.5" spans="1:8">
      <c r="A15" s="30" t="s">
        <v>2214</v>
      </c>
      <c r="B15" s="24">
        <v>366</v>
      </c>
      <c r="C15" s="28">
        <v>125.1</v>
      </c>
      <c r="D15" s="25">
        <v>3.31</v>
      </c>
      <c r="E15" s="29">
        <v>81.8</v>
      </c>
      <c r="F15" s="29">
        <v>96.2</v>
      </c>
      <c r="G15" s="25">
        <v>11.93</v>
      </c>
      <c r="H15" s="24">
        <v>25060166</v>
      </c>
    </row>
    <row r="16" ht="16.5" spans="1:8">
      <c r="A16" s="30" t="s">
        <v>2215</v>
      </c>
      <c r="B16" s="24">
        <v>795.8</v>
      </c>
      <c r="C16" s="28">
        <v>112.4</v>
      </c>
      <c r="D16" s="25">
        <v>3.18</v>
      </c>
      <c r="E16" s="29">
        <v>81.9</v>
      </c>
      <c r="F16" s="29">
        <v>96.6</v>
      </c>
      <c r="G16" s="25">
        <v>12.3</v>
      </c>
      <c r="H16" s="24">
        <v>25060200</v>
      </c>
    </row>
    <row r="17" ht="16.5" spans="1:8">
      <c r="A17" s="30" t="s">
        <v>2216</v>
      </c>
      <c r="B17" s="24">
        <v>233.4</v>
      </c>
      <c r="C17" s="28">
        <v>209.6</v>
      </c>
      <c r="D17" s="25">
        <v>3.65</v>
      </c>
      <c r="E17" s="29">
        <v>87.5</v>
      </c>
      <c r="F17" s="29">
        <v>98.5</v>
      </c>
      <c r="G17" s="25">
        <v>10</v>
      </c>
      <c r="H17" s="24">
        <v>25070245</v>
      </c>
    </row>
    <row r="18" ht="16.5" spans="1:8">
      <c r="A18" s="30" t="s">
        <v>2217</v>
      </c>
      <c r="B18" s="24">
        <v>716.4</v>
      </c>
      <c r="C18" s="28">
        <v>184.8</v>
      </c>
      <c r="D18" s="25">
        <v>4.91</v>
      </c>
      <c r="E18" s="29">
        <v>78.5</v>
      </c>
      <c r="F18" s="29">
        <v>94.3</v>
      </c>
      <c r="G18" s="25">
        <v>11.87</v>
      </c>
      <c r="H18" s="24">
        <v>25070304</v>
      </c>
    </row>
    <row r="19" ht="16.5" spans="1:8">
      <c r="A19" s="132" t="s">
        <v>2218</v>
      </c>
      <c r="B19" s="24">
        <v>277.8</v>
      </c>
      <c r="C19" s="28">
        <v>156.1</v>
      </c>
      <c r="D19" s="25">
        <v>4.29</v>
      </c>
      <c r="E19" s="29">
        <v>76.4</v>
      </c>
      <c r="F19" s="29">
        <v>93.4</v>
      </c>
      <c r="G19" s="25">
        <v>11.45</v>
      </c>
      <c r="H19" s="24">
        <v>25070320</v>
      </c>
    </row>
    <row r="20" ht="16.5" spans="1:8">
      <c r="A20" s="30" t="s">
        <v>2219</v>
      </c>
      <c r="B20" s="24">
        <v>822.2</v>
      </c>
      <c r="C20" s="28">
        <v>118.8</v>
      </c>
      <c r="D20" s="25">
        <v>3.36</v>
      </c>
      <c r="E20" s="29">
        <v>81.4</v>
      </c>
      <c r="F20" s="29">
        <v>97.6</v>
      </c>
      <c r="G20" s="25">
        <v>11.92</v>
      </c>
      <c r="H20" s="24">
        <v>25070321</v>
      </c>
    </row>
    <row r="21" ht="16.5" spans="1:8">
      <c r="A21" s="30" t="s">
        <v>2220</v>
      </c>
      <c r="B21" s="24">
        <v>494.4</v>
      </c>
      <c r="C21" s="28">
        <v>132.3</v>
      </c>
      <c r="D21" s="25">
        <v>3.43</v>
      </c>
      <c r="E21" s="29">
        <v>79.7</v>
      </c>
      <c r="F21" s="29">
        <v>94.9</v>
      </c>
      <c r="G21" s="25">
        <v>12.43</v>
      </c>
      <c r="H21" s="24">
        <v>25070336</v>
      </c>
    </row>
    <row r="22" ht="16.5" spans="1:8">
      <c r="A22" s="30" t="s">
        <v>2221</v>
      </c>
      <c r="B22" s="24">
        <v>304.8</v>
      </c>
      <c r="C22" s="28">
        <v>146</v>
      </c>
      <c r="D22" s="25">
        <v>3.09</v>
      </c>
      <c r="E22" s="29">
        <v>78.3</v>
      </c>
      <c r="F22" s="29">
        <v>94.4</v>
      </c>
      <c r="G22" s="25">
        <v>10.45</v>
      </c>
      <c r="H22" s="24">
        <v>25070341</v>
      </c>
    </row>
  </sheetData>
  <conditionalFormatting sqref="A1:A2">
    <cfRule type="duplicateValues" dxfId="0" priority="116"/>
  </conditionalFormatting>
  <dataValidations count="1">
    <dataValidation allowBlank="1" showInputMessage="1" showErrorMessage="1" sqref="B3:C3 B4:B17 B19:B22 C4:C22"/>
  </dataValidations>
  <pageMargins left="0.75" right="0.75" top="1" bottom="1" header="0.5" footer="0.5"/>
  <pageSetup paperSize="9" orientation="portrait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J18" sqref="J18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909</v>
      </c>
      <c r="B1" s="2">
        <f>SUM(B3:B30)</f>
        <v>10031.8</v>
      </c>
      <c r="C1" s="3" cm="1">
        <f t="array" ref="C1">SUMPRODUCT(C3:C30*B3:B30)/B1</f>
        <v>206.750429633765</v>
      </c>
      <c r="D1" s="4" cm="1">
        <f t="array" ref="D1">SUMPRODUCT(B3:B30*D3:D30)/B1</f>
        <v>4.91740385573875</v>
      </c>
      <c r="E1" s="3" cm="1">
        <f t="array" ref="E1">SUMPRODUCT(B3:B30*E3:E30)/B1</f>
        <v>84.8034091588748</v>
      </c>
      <c r="F1" s="3" cm="1">
        <f t="array" ref="F1">SUMPRODUCT(B3:B30*F3:F30)/B1</f>
        <v>96.5425068282861</v>
      </c>
    </row>
    <row r="2" ht="16.5" spans="1:7">
      <c r="A2" s="6">
        <v>180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2222</v>
      </c>
      <c r="B3" s="9">
        <v>515.8</v>
      </c>
      <c r="C3" s="10">
        <v>201.5</v>
      </c>
      <c r="D3" s="11">
        <v>5.41</v>
      </c>
      <c r="E3" s="12">
        <v>86.2</v>
      </c>
      <c r="F3" s="12">
        <v>97.4</v>
      </c>
      <c r="G3" s="114">
        <v>25040095</v>
      </c>
    </row>
    <row r="4" ht="16.5" spans="1:7">
      <c r="A4" s="39" t="s">
        <v>2223</v>
      </c>
      <c r="B4" s="9">
        <v>382</v>
      </c>
      <c r="C4" s="10">
        <v>193.5</v>
      </c>
      <c r="D4" s="11">
        <v>4.43</v>
      </c>
      <c r="E4" s="12">
        <v>87.3</v>
      </c>
      <c r="F4" s="12">
        <v>97.5</v>
      </c>
      <c r="G4" s="114">
        <v>25050190</v>
      </c>
    </row>
    <row r="5" ht="16.5" spans="1:7">
      <c r="A5" s="68" t="s">
        <v>2224</v>
      </c>
      <c r="B5" s="9">
        <v>350.4</v>
      </c>
      <c r="C5" s="10">
        <v>183.4</v>
      </c>
      <c r="D5" s="11">
        <v>4.55</v>
      </c>
      <c r="E5" s="12">
        <v>78.3</v>
      </c>
      <c r="F5" s="12">
        <v>93.7</v>
      </c>
      <c r="G5" s="114">
        <v>25040285</v>
      </c>
    </row>
    <row r="6" ht="16.5" spans="1:7">
      <c r="A6" s="39" t="s">
        <v>2225</v>
      </c>
      <c r="B6" s="9">
        <v>495.6</v>
      </c>
      <c r="C6" s="10">
        <v>204.6</v>
      </c>
      <c r="D6" s="11">
        <v>5.38</v>
      </c>
      <c r="E6" s="12">
        <v>87.6</v>
      </c>
      <c r="F6" s="12">
        <v>97.9</v>
      </c>
      <c r="G6" s="114">
        <v>25040096</v>
      </c>
    </row>
    <row r="7" ht="16.5" spans="1:7">
      <c r="A7" s="39" t="s">
        <v>2226</v>
      </c>
      <c r="B7" s="9">
        <v>501.6</v>
      </c>
      <c r="C7" s="10">
        <v>211.3</v>
      </c>
      <c r="D7" s="11">
        <v>4.41</v>
      </c>
      <c r="E7" s="12">
        <v>87.9</v>
      </c>
      <c r="F7" s="12">
        <v>98</v>
      </c>
      <c r="G7" s="114">
        <v>25050079</v>
      </c>
    </row>
    <row r="8" ht="16.5" spans="1:7">
      <c r="A8" s="75" t="s">
        <v>2227</v>
      </c>
      <c r="B8" s="9">
        <v>217.4</v>
      </c>
      <c r="C8" s="10">
        <v>166.2</v>
      </c>
      <c r="D8" s="11">
        <v>4.57</v>
      </c>
      <c r="E8" s="12">
        <v>76.3</v>
      </c>
      <c r="F8" s="12">
        <v>93.6</v>
      </c>
      <c r="G8" s="114">
        <v>25070197</v>
      </c>
    </row>
    <row r="9" ht="16.5" spans="1:7">
      <c r="A9" s="39" t="s">
        <v>2228</v>
      </c>
      <c r="B9" s="9">
        <v>333.2</v>
      </c>
      <c r="C9" s="10">
        <v>228</v>
      </c>
      <c r="D9" s="11">
        <v>4.63</v>
      </c>
      <c r="E9" s="12">
        <v>89.5</v>
      </c>
      <c r="F9" s="12">
        <v>98.4</v>
      </c>
      <c r="G9" s="114">
        <v>25060177</v>
      </c>
    </row>
    <row r="10" ht="16.5" spans="1:7">
      <c r="A10" s="39" t="s">
        <v>2229</v>
      </c>
      <c r="B10" s="9">
        <v>504.6</v>
      </c>
      <c r="C10" s="10">
        <v>208.9</v>
      </c>
      <c r="D10" s="11">
        <v>5.11</v>
      </c>
      <c r="E10" s="12">
        <v>86.2</v>
      </c>
      <c r="F10" s="12">
        <v>97.1</v>
      </c>
      <c r="G10" s="114">
        <v>25040043</v>
      </c>
    </row>
    <row r="11" ht="16.5" spans="1:7">
      <c r="A11" s="39" t="s">
        <v>2230</v>
      </c>
      <c r="B11" s="9">
        <v>451.6</v>
      </c>
      <c r="C11" s="10">
        <v>227.6</v>
      </c>
      <c r="D11" s="11">
        <v>4.63</v>
      </c>
      <c r="E11" s="12">
        <v>89.7</v>
      </c>
      <c r="F11" s="12">
        <v>98.6</v>
      </c>
      <c r="G11" s="114">
        <v>25060176</v>
      </c>
    </row>
    <row r="12" ht="16.5" spans="1:7">
      <c r="A12" s="39" t="s">
        <v>2231</v>
      </c>
      <c r="B12" s="9">
        <v>836.2</v>
      </c>
      <c r="C12" s="10">
        <v>214.2</v>
      </c>
      <c r="D12" s="11">
        <v>5.08</v>
      </c>
      <c r="E12" s="12">
        <v>84.7</v>
      </c>
      <c r="F12" s="12">
        <v>96.9</v>
      </c>
      <c r="G12" s="114">
        <v>25030337</v>
      </c>
    </row>
    <row r="13" ht="16.5" spans="1:7">
      <c r="A13" s="75" t="s">
        <v>2232</v>
      </c>
      <c r="B13" s="9">
        <v>549.8</v>
      </c>
      <c r="C13" s="10">
        <v>159.8</v>
      </c>
      <c r="D13" s="11">
        <v>4.8</v>
      </c>
      <c r="E13" s="12">
        <v>70.9</v>
      </c>
      <c r="F13" s="12">
        <v>89</v>
      </c>
      <c r="G13" s="114">
        <v>24070141</v>
      </c>
    </row>
    <row r="14" ht="16.5" spans="1:7">
      <c r="A14" s="39" t="s">
        <v>2233</v>
      </c>
      <c r="B14" s="9">
        <v>524</v>
      </c>
      <c r="C14" s="10">
        <v>214.2</v>
      </c>
      <c r="D14" s="11">
        <v>5.6</v>
      </c>
      <c r="E14" s="12">
        <v>79.1</v>
      </c>
      <c r="F14" s="12">
        <v>94.3</v>
      </c>
      <c r="G14" s="114">
        <v>25010470</v>
      </c>
    </row>
    <row r="15" ht="16.5" spans="1:7">
      <c r="A15" s="39" t="s">
        <v>2234</v>
      </c>
      <c r="B15" s="9">
        <v>490.8</v>
      </c>
      <c r="C15" s="10">
        <v>215.4</v>
      </c>
      <c r="D15" s="11">
        <v>4.49</v>
      </c>
      <c r="E15" s="12">
        <v>87.4</v>
      </c>
      <c r="F15" s="12">
        <v>97.3</v>
      </c>
      <c r="G15" s="114">
        <v>25050099</v>
      </c>
    </row>
    <row r="16" ht="16.5" spans="1:7">
      <c r="A16" s="39" t="s">
        <v>2235</v>
      </c>
      <c r="B16" s="9">
        <v>530.4</v>
      </c>
      <c r="C16" s="10">
        <v>207.1</v>
      </c>
      <c r="D16" s="11">
        <v>5.11</v>
      </c>
      <c r="E16" s="12">
        <v>85.6</v>
      </c>
      <c r="F16" s="12">
        <v>97.2</v>
      </c>
      <c r="G16" s="114">
        <v>25040094</v>
      </c>
    </row>
    <row r="17" ht="16.5" spans="1:7">
      <c r="A17" s="75" t="s">
        <v>2236</v>
      </c>
      <c r="B17" s="9">
        <v>482</v>
      </c>
      <c r="C17" s="10">
        <v>212.6</v>
      </c>
      <c r="D17" s="11">
        <v>4.72</v>
      </c>
      <c r="E17" s="12">
        <v>85</v>
      </c>
      <c r="F17" s="12">
        <v>95.6</v>
      </c>
      <c r="G17" s="114">
        <v>25040340</v>
      </c>
    </row>
    <row r="18" ht="16.5" spans="1:7">
      <c r="A18" s="68" t="s">
        <v>2237</v>
      </c>
      <c r="B18" s="9">
        <v>434</v>
      </c>
      <c r="C18" s="10">
        <v>217</v>
      </c>
      <c r="D18" s="11">
        <v>4.41</v>
      </c>
      <c r="E18" s="12">
        <v>82.5</v>
      </c>
      <c r="F18" s="12">
        <v>95</v>
      </c>
      <c r="G18" s="114">
        <v>25040358</v>
      </c>
    </row>
    <row r="19" ht="16.5" spans="1:7">
      <c r="A19" s="39" t="s">
        <v>2238</v>
      </c>
      <c r="B19" s="9">
        <v>480.2</v>
      </c>
      <c r="C19" s="10">
        <v>214.3</v>
      </c>
      <c r="D19" s="11">
        <v>5.84</v>
      </c>
      <c r="E19" s="12">
        <v>82.7</v>
      </c>
      <c r="F19" s="12">
        <v>96.1</v>
      </c>
      <c r="G19" s="114">
        <v>25040060</v>
      </c>
    </row>
    <row r="20" ht="16.5" spans="1:7">
      <c r="A20" s="39" t="s">
        <v>2239</v>
      </c>
      <c r="B20" s="9">
        <v>524.2</v>
      </c>
      <c r="C20" s="10">
        <v>214.7</v>
      </c>
      <c r="D20" s="11">
        <v>4.77</v>
      </c>
      <c r="E20" s="12">
        <v>87.8</v>
      </c>
      <c r="F20" s="12">
        <v>98.3</v>
      </c>
      <c r="G20" s="114">
        <v>25040150</v>
      </c>
    </row>
    <row r="21" ht="16.5" spans="1:7">
      <c r="A21" s="39" t="s">
        <v>2240</v>
      </c>
      <c r="B21" s="9">
        <v>376</v>
      </c>
      <c r="C21" s="10">
        <v>221.8</v>
      </c>
      <c r="D21" s="11">
        <v>4.43</v>
      </c>
      <c r="E21" s="12">
        <v>89.2</v>
      </c>
      <c r="F21" s="12">
        <v>98.6</v>
      </c>
      <c r="G21" s="114">
        <v>25040165</v>
      </c>
    </row>
    <row r="22" ht="16.5" spans="1:7">
      <c r="A22" s="39" t="s">
        <v>2241</v>
      </c>
      <c r="B22" s="9">
        <v>532.2</v>
      </c>
      <c r="C22" s="10">
        <v>205.5</v>
      </c>
      <c r="D22" s="11">
        <v>5.33</v>
      </c>
      <c r="E22" s="12">
        <v>88.6</v>
      </c>
      <c r="F22" s="12">
        <v>98.4</v>
      </c>
      <c r="G22" s="114">
        <v>25040097</v>
      </c>
    </row>
    <row r="23" ht="16.5" spans="1:7">
      <c r="A23" s="39" t="s">
        <v>2242</v>
      </c>
      <c r="B23" s="9">
        <v>519.8</v>
      </c>
      <c r="C23" s="10">
        <v>201.3</v>
      </c>
      <c r="D23" s="11">
        <v>4.69</v>
      </c>
      <c r="E23" s="12">
        <v>86.2</v>
      </c>
      <c r="F23" s="12">
        <v>97.6</v>
      </c>
      <c r="G23" s="114">
        <v>25040003</v>
      </c>
    </row>
  </sheetData>
  <conditionalFormatting sqref="A1:A2">
    <cfRule type="duplicateValues" dxfId="0" priority="10"/>
  </conditionalFormatting>
  <dataValidations count="1">
    <dataValidation allowBlank="1" showInputMessage="1" showErrorMessage="1" sqref="B3:C23"/>
  </dataValidations>
  <pageMargins left="0.75" right="0.75" top="1" bottom="1" header="0.5" footer="0.5"/>
  <pageSetup paperSize="9" orientation="portrait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910</v>
      </c>
      <c r="B1" s="2">
        <f>SUM(B3:B30)</f>
        <v>10096.2</v>
      </c>
      <c r="C1" s="3" cm="1">
        <f t="array" ref="C1">SUMPRODUCT(C3:C30*B3:B30)/B1</f>
        <v>172.463449614707</v>
      </c>
      <c r="D1" s="4" cm="1">
        <f t="array" ref="D1">SUMPRODUCT(B3:B30*D3:D30)/B1</f>
        <v>3.96315267130207</v>
      </c>
      <c r="E1" s="3" cm="1">
        <f t="array" ref="E1">SUMPRODUCT(B3:B30*E3:E30)/B1</f>
        <v>80.9616667657138</v>
      </c>
      <c r="F1" s="3" cm="1">
        <f t="array" ref="F1">SUMPRODUCT(B3:B30*F3:F30)/B1</f>
        <v>95.1560072106337</v>
      </c>
      <c r="G1" s="3" cm="1">
        <f t="array" ref="G1">SUMPRODUCT(B3:B30*G3:G30)/B1</f>
        <v>11.4887458647808</v>
      </c>
    </row>
    <row r="2" ht="16.5" spans="1: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8" t="s">
        <v>2243</v>
      </c>
      <c r="B3" s="34">
        <v>245.2</v>
      </c>
      <c r="C3" s="35">
        <v>197.1</v>
      </c>
      <c r="D3" s="36">
        <v>4.97</v>
      </c>
      <c r="E3" s="37">
        <v>84.5</v>
      </c>
      <c r="F3" s="37">
        <v>96.7</v>
      </c>
      <c r="G3" s="36">
        <v>12.47</v>
      </c>
      <c r="H3" s="133">
        <v>25030475</v>
      </c>
    </row>
    <row r="4" ht="16.5" spans="1:8">
      <c r="A4" s="38" t="s">
        <v>1077</v>
      </c>
      <c r="B4" s="34">
        <v>285.4</v>
      </c>
      <c r="C4" s="35">
        <v>207.4</v>
      </c>
      <c r="D4" s="36">
        <v>4.46</v>
      </c>
      <c r="E4" s="37">
        <v>88.6</v>
      </c>
      <c r="F4" s="37">
        <v>98</v>
      </c>
      <c r="G4" s="36">
        <v>11.24</v>
      </c>
      <c r="H4" s="133">
        <v>25030488</v>
      </c>
    </row>
    <row r="5" ht="16.5" spans="1:8">
      <c r="A5" s="41" t="s">
        <v>1182</v>
      </c>
      <c r="B5" s="114">
        <v>282.2</v>
      </c>
      <c r="C5" s="37">
        <v>166.6</v>
      </c>
      <c r="D5" s="134">
        <v>4.43</v>
      </c>
      <c r="E5" s="37">
        <v>67.3</v>
      </c>
      <c r="F5" s="37">
        <v>89.2</v>
      </c>
      <c r="G5" s="134">
        <v>11.75</v>
      </c>
      <c r="H5" s="34">
        <v>25040029</v>
      </c>
    </row>
    <row r="6" ht="16.5" spans="1:8">
      <c r="A6" s="41" t="s">
        <v>1757</v>
      </c>
      <c r="B6" s="34">
        <v>494.8</v>
      </c>
      <c r="C6" s="35">
        <v>187.2</v>
      </c>
      <c r="D6" s="36">
        <v>4.49</v>
      </c>
      <c r="E6" s="37">
        <v>83.9</v>
      </c>
      <c r="F6" s="37">
        <v>96.8</v>
      </c>
      <c r="G6" s="36">
        <v>11.17</v>
      </c>
      <c r="H6" s="34">
        <v>25040117</v>
      </c>
    </row>
    <row r="7" ht="16.5" spans="1:8">
      <c r="A7" s="41" t="s">
        <v>2208</v>
      </c>
      <c r="B7" s="34">
        <v>500.8</v>
      </c>
      <c r="C7" s="35">
        <v>200.5</v>
      </c>
      <c r="D7" s="36">
        <v>4.66</v>
      </c>
      <c r="E7" s="37">
        <v>86.4</v>
      </c>
      <c r="F7" s="37">
        <v>97.7</v>
      </c>
      <c r="G7" s="36">
        <v>11.03</v>
      </c>
      <c r="H7" s="34">
        <v>25040116</v>
      </c>
    </row>
    <row r="8" ht="16.5" spans="1:8">
      <c r="A8" s="38" t="s">
        <v>2244</v>
      </c>
      <c r="B8" s="34">
        <v>391.2</v>
      </c>
      <c r="C8" s="35">
        <v>193.5</v>
      </c>
      <c r="D8" s="36">
        <v>4.89</v>
      </c>
      <c r="E8" s="37">
        <v>70.5</v>
      </c>
      <c r="F8" s="37">
        <v>90.3</v>
      </c>
      <c r="G8" s="36">
        <v>11.62</v>
      </c>
      <c r="H8" s="34">
        <v>25020137</v>
      </c>
    </row>
    <row r="9" ht="16.5" spans="1:8">
      <c r="A9" s="38" t="s">
        <v>2245</v>
      </c>
      <c r="B9" s="34">
        <v>246.2</v>
      </c>
      <c r="C9" s="35">
        <v>130.7</v>
      </c>
      <c r="D9" s="36">
        <v>3.24</v>
      </c>
      <c r="E9" s="37">
        <v>78.5</v>
      </c>
      <c r="F9" s="37">
        <v>93.6</v>
      </c>
      <c r="G9" s="36">
        <v>10.98</v>
      </c>
      <c r="H9" s="34">
        <v>25020478</v>
      </c>
    </row>
    <row r="10" ht="16.5" spans="1:8">
      <c r="A10" s="38" t="s">
        <v>2246</v>
      </c>
      <c r="B10" s="34">
        <v>308.8</v>
      </c>
      <c r="C10" s="35">
        <v>202.5</v>
      </c>
      <c r="D10" s="36">
        <v>4.8</v>
      </c>
      <c r="E10" s="37">
        <v>87.6</v>
      </c>
      <c r="F10" s="37">
        <v>98</v>
      </c>
      <c r="G10" s="36">
        <v>11.39</v>
      </c>
      <c r="H10" s="34">
        <v>25030452</v>
      </c>
    </row>
    <row r="11" ht="16.5" spans="1:8">
      <c r="A11" s="38" t="s">
        <v>2247</v>
      </c>
      <c r="B11" s="34">
        <v>543.8</v>
      </c>
      <c r="C11" s="35">
        <v>121.1</v>
      </c>
      <c r="D11" s="36">
        <v>3.24</v>
      </c>
      <c r="E11" s="37">
        <v>64.2</v>
      </c>
      <c r="F11" s="37">
        <v>86.1</v>
      </c>
      <c r="G11" s="36">
        <v>10.28</v>
      </c>
      <c r="H11" s="34">
        <v>25010224</v>
      </c>
    </row>
    <row r="12" ht="16.5" spans="1:8">
      <c r="A12" s="38" t="s">
        <v>2248</v>
      </c>
      <c r="B12" s="34">
        <v>192</v>
      </c>
      <c r="C12" s="35">
        <v>122.3</v>
      </c>
      <c r="D12" s="36">
        <v>2.99</v>
      </c>
      <c r="E12" s="37">
        <v>80.6</v>
      </c>
      <c r="F12" s="37">
        <v>95.7</v>
      </c>
      <c r="G12" s="36">
        <v>13.09</v>
      </c>
      <c r="H12" s="34">
        <v>25040033</v>
      </c>
    </row>
    <row r="13" ht="16.5" spans="1:8">
      <c r="A13" s="38" t="s">
        <v>2249</v>
      </c>
      <c r="B13" s="34">
        <v>488.8</v>
      </c>
      <c r="C13" s="35">
        <v>234</v>
      </c>
      <c r="D13" s="36">
        <v>4.61</v>
      </c>
      <c r="E13" s="37">
        <v>89</v>
      </c>
      <c r="F13" s="37">
        <v>98.2</v>
      </c>
      <c r="G13" s="36">
        <v>11.6</v>
      </c>
      <c r="H13" s="34">
        <v>25040221</v>
      </c>
    </row>
    <row r="14" ht="16.5" spans="1:8">
      <c r="A14" s="38" t="s">
        <v>2250</v>
      </c>
      <c r="B14" s="34">
        <v>310.8</v>
      </c>
      <c r="C14" s="35">
        <v>136.8</v>
      </c>
      <c r="D14" s="36">
        <v>3.31</v>
      </c>
      <c r="E14" s="37">
        <v>73.5</v>
      </c>
      <c r="F14" s="37">
        <v>91.3</v>
      </c>
      <c r="G14" s="36">
        <v>10.78</v>
      </c>
      <c r="H14" s="34">
        <v>25040349</v>
      </c>
    </row>
    <row r="15" ht="16.5" spans="1:8">
      <c r="A15" s="38" t="s">
        <v>2251</v>
      </c>
      <c r="B15" s="34">
        <v>484.8</v>
      </c>
      <c r="C15" s="35">
        <v>220.6</v>
      </c>
      <c r="D15" s="36">
        <v>4.46</v>
      </c>
      <c r="E15" s="37">
        <v>86.3</v>
      </c>
      <c r="F15" s="37">
        <v>96.8</v>
      </c>
      <c r="G15" s="36">
        <v>10.97</v>
      </c>
      <c r="H15" s="34">
        <v>25050014</v>
      </c>
    </row>
    <row r="16" ht="16.5" spans="1:8">
      <c r="A16" s="38" t="s">
        <v>2252</v>
      </c>
      <c r="B16" s="34">
        <v>287</v>
      </c>
      <c r="C16" s="35">
        <v>122.2</v>
      </c>
      <c r="D16" s="36">
        <v>2.74</v>
      </c>
      <c r="E16" s="37">
        <v>76.9</v>
      </c>
      <c r="F16" s="37">
        <v>94.5</v>
      </c>
      <c r="G16" s="36">
        <v>10.04</v>
      </c>
      <c r="H16" s="34">
        <v>25050028</v>
      </c>
    </row>
    <row r="17" ht="16.5" spans="1:8">
      <c r="A17" s="38" t="s">
        <v>2253</v>
      </c>
      <c r="B17" s="34">
        <v>777.4</v>
      </c>
      <c r="C17" s="35">
        <v>132.3</v>
      </c>
      <c r="D17" s="36">
        <v>3.67</v>
      </c>
      <c r="E17" s="37">
        <v>73.8</v>
      </c>
      <c r="F17" s="37">
        <v>92.9</v>
      </c>
      <c r="G17" s="36">
        <v>12.68</v>
      </c>
      <c r="H17" s="34">
        <v>25050158</v>
      </c>
    </row>
    <row r="18" ht="16.5" spans="1:8">
      <c r="A18" s="38" t="s">
        <v>2254</v>
      </c>
      <c r="B18" s="34">
        <v>249.4</v>
      </c>
      <c r="C18" s="35">
        <v>225.2</v>
      </c>
      <c r="D18" s="36">
        <v>3.97</v>
      </c>
      <c r="E18" s="37">
        <v>88.2</v>
      </c>
      <c r="F18" s="37">
        <v>97.8</v>
      </c>
      <c r="G18" s="36">
        <v>11.63</v>
      </c>
      <c r="H18" s="34">
        <v>25060105</v>
      </c>
    </row>
    <row r="19" ht="16.5" spans="1:8">
      <c r="A19" s="38" t="s">
        <v>2255</v>
      </c>
      <c r="B19" s="34">
        <v>671.2</v>
      </c>
      <c r="C19" s="35">
        <v>130.7</v>
      </c>
      <c r="D19" s="36">
        <v>3.31</v>
      </c>
      <c r="E19" s="37">
        <v>80.7</v>
      </c>
      <c r="F19" s="37">
        <v>95.4</v>
      </c>
      <c r="G19" s="36">
        <v>11.62</v>
      </c>
      <c r="H19" s="34">
        <v>25060133</v>
      </c>
    </row>
    <row r="20" ht="16.5" spans="1:8">
      <c r="A20" s="38" t="s">
        <v>2256</v>
      </c>
      <c r="B20" s="34">
        <v>631.2</v>
      </c>
      <c r="C20" s="35">
        <v>112</v>
      </c>
      <c r="D20" s="36">
        <v>3.15</v>
      </c>
      <c r="E20" s="37">
        <v>82.2</v>
      </c>
      <c r="F20" s="37">
        <v>97</v>
      </c>
      <c r="G20" s="36">
        <v>12.32</v>
      </c>
      <c r="H20" s="34">
        <v>25060199</v>
      </c>
    </row>
    <row r="21" ht="16.5" spans="1:8">
      <c r="A21" s="38" t="s">
        <v>2257</v>
      </c>
      <c r="B21" s="34">
        <v>484.8</v>
      </c>
      <c r="C21" s="35">
        <v>243.9</v>
      </c>
      <c r="D21" s="36">
        <v>4.15</v>
      </c>
      <c r="E21" s="37">
        <v>91.4</v>
      </c>
      <c r="F21" s="37">
        <v>98.9</v>
      </c>
      <c r="G21" s="36">
        <v>11.11</v>
      </c>
      <c r="H21" s="34">
        <v>25070078</v>
      </c>
    </row>
    <row r="22" ht="16.5" spans="1:8">
      <c r="A22" s="41" t="s">
        <v>2258</v>
      </c>
      <c r="B22" s="34">
        <v>429.8</v>
      </c>
      <c r="C22" s="35">
        <v>186.5</v>
      </c>
      <c r="D22" s="36">
        <v>4.49</v>
      </c>
      <c r="E22" s="37">
        <v>79.3</v>
      </c>
      <c r="F22" s="37">
        <v>94.4</v>
      </c>
      <c r="G22" s="36">
        <v>11.48</v>
      </c>
      <c r="H22" s="34">
        <v>25070276</v>
      </c>
    </row>
    <row r="23" ht="16.5" spans="1:8">
      <c r="A23" s="38" t="s">
        <v>2259</v>
      </c>
      <c r="B23" s="34">
        <v>349.2</v>
      </c>
      <c r="C23" s="35">
        <v>208.4</v>
      </c>
      <c r="D23" s="36">
        <v>5.13</v>
      </c>
      <c r="E23" s="37">
        <v>80.1</v>
      </c>
      <c r="F23" s="37">
        <v>94.8</v>
      </c>
      <c r="G23" s="36">
        <v>11.75</v>
      </c>
      <c r="H23" s="34">
        <v>25070334</v>
      </c>
    </row>
    <row r="24" ht="16.5" spans="1:8">
      <c r="A24" s="38" t="s">
        <v>2260</v>
      </c>
      <c r="B24" s="34">
        <v>507.6</v>
      </c>
      <c r="C24" s="35">
        <v>122.6</v>
      </c>
      <c r="D24" s="36">
        <v>2.96</v>
      </c>
      <c r="E24" s="37">
        <v>80</v>
      </c>
      <c r="F24" s="37">
        <v>95.5</v>
      </c>
      <c r="G24" s="36">
        <v>11.63</v>
      </c>
      <c r="H24" s="34">
        <v>25070340</v>
      </c>
    </row>
    <row r="25" ht="16.5" spans="1:8">
      <c r="A25" s="38" t="s">
        <v>2261</v>
      </c>
      <c r="B25" s="34">
        <v>422.2</v>
      </c>
      <c r="C25" s="35">
        <v>108.4</v>
      </c>
      <c r="D25" s="36">
        <v>2.87</v>
      </c>
      <c r="E25" s="37">
        <v>79.5</v>
      </c>
      <c r="F25" s="37">
        <v>96.1</v>
      </c>
      <c r="G25" s="36">
        <v>12.08</v>
      </c>
      <c r="H25" s="34">
        <v>25070354</v>
      </c>
    </row>
    <row r="26" ht="16.5" spans="1:8">
      <c r="A26" s="38" t="s">
        <v>2262</v>
      </c>
      <c r="B26" s="34">
        <v>511.6</v>
      </c>
      <c r="C26" s="35">
        <v>270.5</v>
      </c>
      <c r="D26" s="36">
        <v>4.8</v>
      </c>
      <c r="E26" s="37">
        <v>92</v>
      </c>
      <c r="F26" s="37">
        <v>98.2</v>
      </c>
      <c r="G26" s="36">
        <v>10.77</v>
      </c>
      <c r="H26" s="34">
        <v>25030145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6"/>
  </dataValidations>
  <pageMargins left="0.75" right="0.75" top="1" bottom="1" header="0.5" footer="0.5"/>
  <pageSetup paperSize="9" orientation="portrait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911</v>
      </c>
      <c r="B1" s="2">
        <f>SUM(B3:B30)</f>
        <v>10106.4</v>
      </c>
      <c r="C1" s="3" cm="1">
        <f t="array" ref="C1">SUMPRODUCT(C3:C30*B3:B30)/B1</f>
        <v>173.070616638961</v>
      </c>
      <c r="D1" s="4" cm="1">
        <f t="array" ref="D1">SUMPRODUCT(B3:B30*D3:D30)/B1</f>
        <v>4.00336618380432</v>
      </c>
      <c r="E1" s="3" cm="1">
        <f t="array" ref="E1">SUMPRODUCT(B3:B30*E3:E30)/B1</f>
        <v>79.6106961925116</v>
      </c>
      <c r="F1" s="3" cm="1">
        <f t="array" ref="F1">SUMPRODUCT(B3:B30*F3:F30)/B1</f>
        <v>94.5022817224729</v>
      </c>
      <c r="G1" s="3" cm="1">
        <f t="array" ref="G1">SUMPRODUCT(B3:B30*G3:G30)/B1</f>
        <v>11.5999934694847</v>
      </c>
    </row>
    <row r="2" ht="16.5" spans="1:8">
      <c r="A2" s="52">
        <v>160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52" t="s">
        <v>19</v>
      </c>
    </row>
    <row r="3" ht="16.5" spans="1:8">
      <c r="A3" s="68" t="s">
        <v>2211</v>
      </c>
      <c r="B3" s="9">
        <v>311.2</v>
      </c>
      <c r="C3" s="10">
        <v>203.4</v>
      </c>
      <c r="D3" s="11">
        <v>4.43</v>
      </c>
      <c r="E3" s="12">
        <v>88.6</v>
      </c>
      <c r="F3" s="12">
        <v>98</v>
      </c>
      <c r="G3" s="11">
        <v>11.67</v>
      </c>
      <c r="H3" s="9">
        <v>25040299</v>
      </c>
    </row>
    <row r="4" ht="16.5" spans="1:8">
      <c r="A4" s="68" t="s">
        <v>2227</v>
      </c>
      <c r="B4" s="9">
        <v>217.4</v>
      </c>
      <c r="C4" s="10">
        <v>166.2</v>
      </c>
      <c r="D4" s="11">
        <v>4.57</v>
      </c>
      <c r="E4" s="12">
        <v>76.3</v>
      </c>
      <c r="F4" s="12">
        <v>93.6</v>
      </c>
      <c r="G4" s="11">
        <v>11.94</v>
      </c>
      <c r="H4" s="9">
        <v>25070197</v>
      </c>
    </row>
    <row r="5" ht="16.5" spans="1:8">
      <c r="A5" s="39" t="s">
        <v>2263</v>
      </c>
      <c r="B5" s="9">
        <v>370.2</v>
      </c>
      <c r="C5" s="10">
        <v>220.4</v>
      </c>
      <c r="D5" s="11">
        <v>4.49</v>
      </c>
      <c r="E5" s="12">
        <v>87.2</v>
      </c>
      <c r="F5" s="12">
        <v>97.1</v>
      </c>
      <c r="G5" s="11">
        <v>10.8</v>
      </c>
      <c r="H5" s="9">
        <v>25040166</v>
      </c>
    </row>
    <row r="6" ht="16.5" spans="1:8">
      <c r="A6" s="68" t="s">
        <v>2264</v>
      </c>
      <c r="B6" s="9">
        <v>458.2</v>
      </c>
      <c r="C6" s="10">
        <v>210.1</v>
      </c>
      <c r="D6" s="11">
        <v>4.72</v>
      </c>
      <c r="E6" s="12">
        <v>83.4</v>
      </c>
      <c r="F6" s="12">
        <v>96.2</v>
      </c>
      <c r="G6" s="11">
        <v>11.55</v>
      </c>
      <c r="H6" s="9">
        <v>25040224</v>
      </c>
    </row>
    <row r="7" ht="16.5" spans="1:8">
      <c r="A7" s="39" t="s">
        <v>2265</v>
      </c>
      <c r="B7" s="9">
        <v>507.2</v>
      </c>
      <c r="C7" s="10">
        <v>189.1</v>
      </c>
      <c r="D7" s="11">
        <v>4.97</v>
      </c>
      <c r="E7" s="12">
        <v>59.6</v>
      </c>
      <c r="F7" s="12">
        <v>83.2</v>
      </c>
      <c r="G7" s="11">
        <v>13.03</v>
      </c>
      <c r="H7" s="9">
        <v>24120609</v>
      </c>
    </row>
    <row r="8" ht="16.5" spans="1:8">
      <c r="A8" s="39" t="s">
        <v>2266</v>
      </c>
      <c r="B8" s="9">
        <v>758.6</v>
      </c>
      <c r="C8" s="10">
        <v>93.1</v>
      </c>
      <c r="D8" s="11">
        <v>2.64</v>
      </c>
      <c r="E8" s="12">
        <v>75.7</v>
      </c>
      <c r="F8" s="12">
        <v>94.3</v>
      </c>
      <c r="G8" s="11">
        <v>12.72</v>
      </c>
      <c r="H8" s="9">
        <v>25080076</v>
      </c>
    </row>
    <row r="9" ht="16.5" spans="1:8">
      <c r="A9" s="39" t="s">
        <v>2267</v>
      </c>
      <c r="B9" s="9">
        <v>386</v>
      </c>
      <c r="C9" s="10">
        <v>238.3</v>
      </c>
      <c r="D9" s="11">
        <v>4.43</v>
      </c>
      <c r="E9" s="12">
        <v>88</v>
      </c>
      <c r="F9" s="12">
        <v>97.5</v>
      </c>
      <c r="G9" s="11">
        <v>11.82</v>
      </c>
      <c r="H9" s="9">
        <v>25070288</v>
      </c>
    </row>
    <row r="10" ht="16.5" spans="1:8">
      <c r="A10" s="39" t="s">
        <v>2268</v>
      </c>
      <c r="B10" s="9">
        <v>235</v>
      </c>
      <c r="C10" s="10">
        <v>95.1</v>
      </c>
      <c r="D10" s="11">
        <v>2.7</v>
      </c>
      <c r="E10" s="12">
        <v>76.5</v>
      </c>
      <c r="F10" s="12">
        <v>94.8</v>
      </c>
      <c r="G10" s="11">
        <v>11.96</v>
      </c>
      <c r="H10" s="9">
        <v>25080077</v>
      </c>
    </row>
    <row r="11" ht="16.5" spans="1:8">
      <c r="A11" s="39" t="s">
        <v>2269</v>
      </c>
      <c r="B11" s="9">
        <v>220.4</v>
      </c>
      <c r="C11" s="10">
        <v>126.4</v>
      </c>
      <c r="D11" s="11">
        <v>3.24</v>
      </c>
      <c r="E11" s="12">
        <v>77.8</v>
      </c>
      <c r="F11" s="12">
        <v>94.8</v>
      </c>
      <c r="G11" s="11">
        <v>11.39</v>
      </c>
      <c r="H11" s="9">
        <v>25030403</v>
      </c>
    </row>
    <row r="12" ht="16.5" spans="1:8">
      <c r="A12" s="39" t="s">
        <v>2270</v>
      </c>
      <c r="B12" s="9">
        <v>244.6</v>
      </c>
      <c r="C12" s="10">
        <v>205.7</v>
      </c>
      <c r="D12" s="11">
        <v>5.66</v>
      </c>
      <c r="E12" s="12">
        <v>77.7</v>
      </c>
      <c r="F12" s="12">
        <v>92.6</v>
      </c>
      <c r="G12" s="11">
        <v>10.77</v>
      </c>
      <c r="H12" s="9">
        <v>24050080</v>
      </c>
    </row>
    <row r="13" ht="16.5" spans="1:8">
      <c r="A13" s="68" t="s">
        <v>2271</v>
      </c>
      <c r="B13" s="56">
        <v>532.4</v>
      </c>
      <c r="C13" s="12">
        <v>117.6</v>
      </c>
      <c r="D13" s="57">
        <v>2.8</v>
      </c>
      <c r="E13" s="12">
        <v>64.4</v>
      </c>
      <c r="F13" s="12">
        <v>85.5</v>
      </c>
      <c r="G13" s="57">
        <v>10.54</v>
      </c>
      <c r="H13" s="9">
        <v>25010227</v>
      </c>
    </row>
    <row r="14" ht="16.5" spans="1:8">
      <c r="A14" s="39" t="s">
        <v>2272</v>
      </c>
      <c r="B14" s="9">
        <v>542.6</v>
      </c>
      <c r="C14" s="10">
        <v>200.9</v>
      </c>
      <c r="D14" s="11">
        <v>5.6</v>
      </c>
      <c r="E14" s="12">
        <v>76.8</v>
      </c>
      <c r="F14" s="12">
        <v>93.6</v>
      </c>
      <c r="G14" s="11">
        <v>11.28</v>
      </c>
      <c r="H14" s="9">
        <v>25070145</v>
      </c>
    </row>
    <row r="15" ht="16.5" spans="1:8">
      <c r="A15" s="39" t="s">
        <v>2273</v>
      </c>
      <c r="B15" s="9">
        <v>498.2</v>
      </c>
      <c r="C15" s="10">
        <v>118.7</v>
      </c>
      <c r="D15" s="11">
        <v>3.15</v>
      </c>
      <c r="E15" s="12">
        <v>78.9</v>
      </c>
      <c r="F15" s="12">
        <v>96.1</v>
      </c>
      <c r="G15" s="11">
        <v>11.51</v>
      </c>
      <c r="H15" s="9">
        <v>25030363</v>
      </c>
    </row>
    <row r="16" ht="16.5" spans="1:8">
      <c r="A16" s="39" t="s">
        <v>933</v>
      </c>
      <c r="B16" s="9">
        <v>493.2</v>
      </c>
      <c r="C16" s="10">
        <v>244.2</v>
      </c>
      <c r="D16" s="11">
        <v>4.49</v>
      </c>
      <c r="E16" s="12">
        <v>91.5</v>
      </c>
      <c r="F16" s="12">
        <v>98.9</v>
      </c>
      <c r="G16" s="11">
        <v>10.91</v>
      </c>
      <c r="H16" s="9">
        <v>25040037</v>
      </c>
    </row>
    <row r="17" ht="16.5" spans="1:8">
      <c r="A17" s="68" t="s">
        <v>2274</v>
      </c>
      <c r="B17" s="9">
        <v>534.2</v>
      </c>
      <c r="C17" s="10">
        <v>102.8</v>
      </c>
      <c r="D17" s="11">
        <v>3.43</v>
      </c>
      <c r="E17" s="12">
        <v>71.8</v>
      </c>
      <c r="F17" s="12">
        <v>91.3</v>
      </c>
      <c r="G17" s="11">
        <v>12.43</v>
      </c>
      <c r="H17" s="9">
        <v>24050202</v>
      </c>
    </row>
    <row r="18" ht="16.5" spans="1:8">
      <c r="A18" s="39" t="s">
        <v>2275</v>
      </c>
      <c r="B18" s="9">
        <v>674.8</v>
      </c>
      <c r="C18" s="10">
        <v>240.1</v>
      </c>
      <c r="D18" s="11">
        <v>4.23</v>
      </c>
      <c r="E18" s="12">
        <v>88</v>
      </c>
      <c r="F18" s="12">
        <v>97.8</v>
      </c>
      <c r="G18" s="11">
        <v>11.57</v>
      </c>
      <c r="H18" s="9">
        <v>25080034</v>
      </c>
    </row>
    <row r="19" ht="16.5" spans="1:8">
      <c r="A19" s="39" t="s">
        <v>2276</v>
      </c>
      <c r="B19" s="9">
        <v>303.6</v>
      </c>
      <c r="C19" s="10">
        <v>124</v>
      </c>
      <c r="D19" s="11">
        <v>2.96</v>
      </c>
      <c r="E19" s="12">
        <v>79.9</v>
      </c>
      <c r="F19" s="12">
        <v>95.9</v>
      </c>
      <c r="G19" s="11">
        <v>10.95</v>
      </c>
      <c r="H19" s="9">
        <v>25040194</v>
      </c>
    </row>
    <row r="20" ht="16.5" spans="1:8">
      <c r="A20" s="68" t="s">
        <v>2153</v>
      </c>
      <c r="B20" s="56">
        <v>347.6</v>
      </c>
      <c r="C20" s="12">
        <v>211.5</v>
      </c>
      <c r="D20" s="57">
        <v>5.41</v>
      </c>
      <c r="E20" s="12">
        <v>84.8</v>
      </c>
      <c r="F20" s="12">
        <v>96.7</v>
      </c>
      <c r="G20" s="57">
        <v>9.85</v>
      </c>
      <c r="H20" s="56">
        <v>25030474</v>
      </c>
    </row>
    <row r="21" ht="16.5" spans="1:8">
      <c r="A21" s="39" t="s">
        <v>2277</v>
      </c>
      <c r="B21" s="9">
        <v>494.6</v>
      </c>
      <c r="C21" s="10">
        <v>131.5</v>
      </c>
      <c r="D21" s="11">
        <v>3.24</v>
      </c>
      <c r="E21" s="12">
        <v>78.5</v>
      </c>
      <c r="F21" s="12">
        <v>94.6</v>
      </c>
      <c r="G21" s="11">
        <v>11.59</v>
      </c>
      <c r="H21" s="9">
        <v>25040008</v>
      </c>
    </row>
    <row r="22" ht="16.5" spans="1:8">
      <c r="A22" s="68" t="s">
        <v>2278</v>
      </c>
      <c r="B22" s="9">
        <v>457.6</v>
      </c>
      <c r="C22" s="10">
        <v>210.9</v>
      </c>
      <c r="D22" s="11">
        <v>4.97</v>
      </c>
      <c r="E22" s="12">
        <v>80.7</v>
      </c>
      <c r="F22" s="12">
        <v>95.1</v>
      </c>
      <c r="G22" s="11">
        <v>11.82</v>
      </c>
      <c r="H22" s="9">
        <v>25070332</v>
      </c>
    </row>
    <row r="23" ht="16.5" spans="1:8">
      <c r="A23" s="39" t="s">
        <v>2279</v>
      </c>
      <c r="B23" s="9">
        <v>406.2</v>
      </c>
      <c r="C23" s="10">
        <v>134.8</v>
      </c>
      <c r="D23" s="11">
        <v>3.21</v>
      </c>
      <c r="E23" s="12">
        <v>75.7</v>
      </c>
      <c r="F23" s="12">
        <v>93.3</v>
      </c>
      <c r="G23" s="11">
        <v>11.3</v>
      </c>
      <c r="H23" s="9">
        <v>25040084</v>
      </c>
    </row>
    <row r="24" ht="16.5" spans="1:8">
      <c r="A24" s="39" t="s">
        <v>2280</v>
      </c>
      <c r="B24" s="9">
        <v>340.6</v>
      </c>
      <c r="C24" s="10">
        <v>225.9</v>
      </c>
      <c r="D24" s="11">
        <v>4.17</v>
      </c>
      <c r="E24" s="12">
        <v>91</v>
      </c>
      <c r="F24" s="12">
        <v>98.8</v>
      </c>
      <c r="G24" s="11">
        <v>11.4</v>
      </c>
      <c r="H24" s="9">
        <v>25040144</v>
      </c>
    </row>
    <row r="25" ht="16.5" spans="1:8">
      <c r="A25" s="39" t="s">
        <v>2281</v>
      </c>
      <c r="B25" s="9">
        <v>285.6</v>
      </c>
      <c r="C25" s="10">
        <v>91.7</v>
      </c>
      <c r="D25" s="11">
        <v>2.7</v>
      </c>
      <c r="E25" s="12">
        <v>73.8</v>
      </c>
      <c r="F25" s="12">
        <v>93.8</v>
      </c>
      <c r="G25" s="11">
        <v>11.88</v>
      </c>
      <c r="H25" s="9">
        <v>25080045</v>
      </c>
    </row>
    <row r="26" ht="16.5" spans="1:8">
      <c r="A26" s="39" t="s">
        <v>2282</v>
      </c>
      <c r="B26" s="9">
        <v>486.4</v>
      </c>
      <c r="C26" s="10">
        <v>234.5</v>
      </c>
      <c r="D26" s="11">
        <v>4.41</v>
      </c>
      <c r="E26" s="12">
        <v>89.9</v>
      </c>
      <c r="F26" s="12">
        <v>98.5</v>
      </c>
      <c r="G26" s="11">
        <v>12.11</v>
      </c>
      <c r="H26" s="9">
        <v>25040277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3 B3:C12 B14:C26"/>
  </dataValidations>
  <pageMargins left="0.75" right="0.75" top="1" bottom="1" header="0.5" footer="0.5"/>
  <pageSetup paperSize="9" orientation="portrait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J1" sqref="J$1:S$1048576"/>
    </sheetView>
  </sheetViews>
  <sheetFormatPr defaultColWidth="9" defaultRowHeight="13.5" outlineLevelCol="7"/>
  <cols>
    <col min="1" max="1" width="15.625" customWidth="1"/>
  </cols>
  <sheetData>
    <row r="1" ht="16.5" spans="1:8">
      <c r="A1" s="116">
        <v>912</v>
      </c>
      <c r="B1" s="2">
        <f>SUM(B3:B30)</f>
        <v>10104.2</v>
      </c>
      <c r="C1" s="3" cm="1">
        <f t="array" ref="C1">SUMPRODUCT(C3:C30*B3:B30)/B1</f>
        <v>151.290922586647</v>
      </c>
      <c r="D1" s="4" cm="1">
        <f t="array" ref="D1">SUMPRODUCT(B3:B30*D3:D30)/B1</f>
        <v>3.80925397359514</v>
      </c>
      <c r="E1" s="3" cm="1">
        <f t="array" ref="E1">SUMPRODUCT(B3:B30*E3:E30)/B1</f>
        <v>78.2511015221393</v>
      </c>
      <c r="F1" s="3" cm="1">
        <f t="array" ref="F1">SUMPRODUCT(B3:B30*F3:F30)/B1</f>
        <v>94.1467805467034</v>
      </c>
      <c r="G1" s="3" cm="1">
        <f t="array" ref="G1">SUMPRODUCT(B3:B30*G3:G30)/B1</f>
        <v>11.3826472160092</v>
      </c>
    </row>
    <row r="2" ht="16.5" spans="1:8">
      <c r="A2" s="52">
        <v>140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52" t="s">
        <v>19</v>
      </c>
    </row>
    <row r="3" ht="16.5" spans="1:8">
      <c r="A3" s="30" t="s">
        <v>2283</v>
      </c>
      <c r="B3" s="24">
        <v>547.4</v>
      </c>
      <c r="C3" s="28">
        <v>97.6</v>
      </c>
      <c r="D3" s="25">
        <v>2.9</v>
      </c>
      <c r="E3" s="29">
        <v>83.3</v>
      </c>
      <c r="F3" s="29">
        <v>96.4</v>
      </c>
      <c r="G3" s="25">
        <v>12.08</v>
      </c>
      <c r="H3" s="24">
        <v>24060058</v>
      </c>
    </row>
    <row r="4" ht="16.5" spans="1:8">
      <c r="A4" s="30" t="s">
        <v>2284</v>
      </c>
      <c r="B4" s="24">
        <v>559.8</v>
      </c>
      <c r="C4" s="28">
        <v>98.7</v>
      </c>
      <c r="D4" s="25">
        <v>2.87</v>
      </c>
      <c r="E4" s="29">
        <v>83.6</v>
      </c>
      <c r="F4" s="29">
        <v>96.7</v>
      </c>
      <c r="G4" s="25">
        <v>12.16</v>
      </c>
      <c r="H4" s="24">
        <v>24060057</v>
      </c>
    </row>
    <row r="5" ht="16.5" spans="1:8">
      <c r="A5" s="30" t="s">
        <v>2285</v>
      </c>
      <c r="B5" s="24">
        <v>251.2</v>
      </c>
      <c r="C5" s="28">
        <v>229.3</v>
      </c>
      <c r="D5" s="25">
        <v>5.68</v>
      </c>
      <c r="E5" s="29">
        <v>79.8</v>
      </c>
      <c r="F5" s="29">
        <v>93</v>
      </c>
      <c r="G5" s="25">
        <v>11.42</v>
      </c>
      <c r="H5" s="24">
        <v>24060187</v>
      </c>
    </row>
    <row r="6" ht="16.5" spans="1:8">
      <c r="A6" s="104" t="s">
        <v>2232</v>
      </c>
      <c r="B6" s="24">
        <v>549.8</v>
      </c>
      <c r="C6" s="28">
        <v>159.8</v>
      </c>
      <c r="D6" s="25">
        <v>4.8</v>
      </c>
      <c r="E6" s="29">
        <v>70.9</v>
      </c>
      <c r="F6" s="29">
        <v>89</v>
      </c>
      <c r="G6" s="25">
        <v>12.02</v>
      </c>
      <c r="H6" s="24">
        <v>24070141</v>
      </c>
    </row>
    <row r="7" ht="16.5" spans="1:8">
      <c r="A7" s="30" t="s">
        <v>2286</v>
      </c>
      <c r="B7" s="24">
        <v>501</v>
      </c>
      <c r="C7" s="28">
        <v>127.6</v>
      </c>
      <c r="D7" s="25">
        <v>3.21</v>
      </c>
      <c r="E7" s="29">
        <v>56.9</v>
      </c>
      <c r="F7" s="29">
        <v>82.5</v>
      </c>
      <c r="G7" s="25">
        <v>10.9</v>
      </c>
      <c r="H7" s="24">
        <v>24120526</v>
      </c>
    </row>
    <row r="8" ht="16.5" spans="1:8">
      <c r="A8" s="132" t="s">
        <v>2287</v>
      </c>
      <c r="B8" s="24">
        <v>310.6</v>
      </c>
      <c r="C8" s="28">
        <v>226.1</v>
      </c>
      <c r="D8" s="25">
        <v>5.87</v>
      </c>
      <c r="E8" s="29">
        <v>69.3</v>
      </c>
      <c r="F8" s="29">
        <v>88.1</v>
      </c>
      <c r="G8" s="25">
        <v>9.93</v>
      </c>
      <c r="H8" s="24">
        <v>25010358</v>
      </c>
    </row>
    <row r="9" ht="16.5" spans="1:8">
      <c r="A9" s="30" t="s">
        <v>2288</v>
      </c>
      <c r="B9" s="24">
        <v>277</v>
      </c>
      <c r="C9" s="28">
        <v>150.4</v>
      </c>
      <c r="D9" s="25">
        <v>4.23</v>
      </c>
      <c r="E9" s="29">
        <v>50.1</v>
      </c>
      <c r="F9" s="29">
        <v>79.8</v>
      </c>
      <c r="G9" s="25">
        <v>11.44</v>
      </c>
      <c r="H9" s="24">
        <v>25020172</v>
      </c>
    </row>
    <row r="10" ht="16.5" spans="1:8">
      <c r="A10" s="30" t="s">
        <v>2289</v>
      </c>
      <c r="B10" s="24">
        <v>504.6</v>
      </c>
      <c r="C10" s="28">
        <v>226.3</v>
      </c>
      <c r="D10" s="25">
        <v>5.76</v>
      </c>
      <c r="E10" s="29">
        <v>82</v>
      </c>
      <c r="F10" s="29">
        <v>95.3</v>
      </c>
      <c r="G10" s="25">
        <v>11.06</v>
      </c>
      <c r="H10" s="24">
        <v>25020363</v>
      </c>
    </row>
    <row r="11" ht="16.5" spans="1:8">
      <c r="A11" s="30" t="s">
        <v>2290</v>
      </c>
      <c r="B11" s="24">
        <v>797.2</v>
      </c>
      <c r="C11" s="28">
        <v>97.1</v>
      </c>
      <c r="D11" s="25">
        <v>2.67</v>
      </c>
      <c r="E11" s="29">
        <v>75.6</v>
      </c>
      <c r="F11" s="29">
        <v>96.2</v>
      </c>
      <c r="G11" s="25">
        <v>10.45</v>
      </c>
      <c r="H11" s="24">
        <v>25030234</v>
      </c>
    </row>
    <row r="12" ht="16.5" spans="1:8">
      <c r="A12" s="30" t="s">
        <v>2291</v>
      </c>
      <c r="B12" s="24">
        <v>331.2</v>
      </c>
      <c r="C12" s="28">
        <v>227.6</v>
      </c>
      <c r="D12" s="25">
        <v>5.73</v>
      </c>
      <c r="E12" s="29">
        <v>86.1</v>
      </c>
      <c r="F12" s="29">
        <v>97.6</v>
      </c>
      <c r="G12" s="25">
        <v>11.4</v>
      </c>
      <c r="H12" s="24">
        <v>25030375</v>
      </c>
    </row>
    <row r="13" ht="16.5" spans="1:8">
      <c r="A13" s="30" t="s">
        <v>2292</v>
      </c>
      <c r="B13" s="24">
        <v>213.6</v>
      </c>
      <c r="C13" s="28">
        <v>215.8</v>
      </c>
      <c r="D13" s="25">
        <v>4.61</v>
      </c>
      <c r="E13" s="29">
        <v>90.1</v>
      </c>
      <c r="F13" s="29">
        <v>98.8</v>
      </c>
      <c r="G13" s="25">
        <v>11.55</v>
      </c>
      <c r="H13" s="24">
        <v>25040112</v>
      </c>
    </row>
    <row r="14" ht="16.5" spans="1:8">
      <c r="A14" s="30" t="s">
        <v>2293</v>
      </c>
      <c r="B14" s="24">
        <v>480.4</v>
      </c>
      <c r="C14" s="28">
        <v>214.7</v>
      </c>
      <c r="D14" s="25">
        <v>5.11</v>
      </c>
      <c r="E14" s="29">
        <v>84.8</v>
      </c>
      <c r="F14" s="29">
        <v>96.8</v>
      </c>
      <c r="G14" s="25">
        <v>11.87</v>
      </c>
      <c r="H14" s="24">
        <v>25040170</v>
      </c>
    </row>
    <row r="15" ht="16.5" spans="1:8">
      <c r="A15" s="30" t="s">
        <v>2294</v>
      </c>
      <c r="B15" s="24">
        <v>504.6</v>
      </c>
      <c r="C15" s="28">
        <v>229.2</v>
      </c>
      <c r="D15" s="25">
        <v>4.26</v>
      </c>
      <c r="E15" s="29">
        <v>90.8</v>
      </c>
      <c r="F15" s="29">
        <v>98.9</v>
      </c>
      <c r="G15" s="25">
        <v>11.43</v>
      </c>
      <c r="H15" s="24">
        <v>25040183</v>
      </c>
    </row>
    <row r="16" ht="16.5" spans="1:8">
      <c r="A16" s="30" t="s">
        <v>2295</v>
      </c>
      <c r="B16" s="24">
        <v>389.4</v>
      </c>
      <c r="C16" s="28">
        <v>119.9</v>
      </c>
      <c r="D16" s="25">
        <v>2.74</v>
      </c>
      <c r="E16" s="29">
        <v>80.8</v>
      </c>
      <c r="F16" s="29">
        <v>95.8</v>
      </c>
      <c r="G16" s="25">
        <v>11.31</v>
      </c>
      <c r="H16" s="24">
        <v>25040288</v>
      </c>
    </row>
    <row r="17" ht="16.5" spans="1:8">
      <c r="A17" s="30" t="s">
        <v>2296</v>
      </c>
      <c r="B17" s="24">
        <v>642.6</v>
      </c>
      <c r="C17" s="28">
        <v>126.3</v>
      </c>
      <c r="D17" s="25">
        <v>2.87</v>
      </c>
      <c r="E17" s="29">
        <v>80.3</v>
      </c>
      <c r="F17" s="29">
        <v>95.4</v>
      </c>
      <c r="G17" s="25">
        <v>11.36</v>
      </c>
      <c r="H17" s="24">
        <v>25040287</v>
      </c>
    </row>
    <row r="18" ht="16.5" spans="1:8">
      <c r="A18" s="132" t="s">
        <v>2297</v>
      </c>
      <c r="B18" s="24">
        <v>318.2</v>
      </c>
      <c r="C18" s="28">
        <v>134.8</v>
      </c>
      <c r="D18" s="25">
        <v>3.28</v>
      </c>
      <c r="E18" s="29">
        <v>76.5</v>
      </c>
      <c r="F18" s="29">
        <v>93.2</v>
      </c>
      <c r="G18" s="25">
        <v>11.19</v>
      </c>
      <c r="H18" s="24">
        <v>25040407</v>
      </c>
    </row>
    <row r="19" ht="16.5" spans="1:8">
      <c r="A19" s="30" t="s">
        <v>2298</v>
      </c>
      <c r="B19" s="24">
        <v>255</v>
      </c>
      <c r="C19" s="28">
        <v>227</v>
      </c>
      <c r="D19" s="25">
        <v>5.6</v>
      </c>
      <c r="E19" s="29">
        <v>81.7</v>
      </c>
      <c r="F19" s="29">
        <v>94.8</v>
      </c>
      <c r="G19" s="25">
        <v>10.72</v>
      </c>
      <c r="H19" s="105">
        <v>25050001</v>
      </c>
    </row>
    <row r="20" ht="16.5" spans="1:8">
      <c r="A20" s="30" t="s">
        <v>2299</v>
      </c>
      <c r="B20" s="24">
        <v>496.2</v>
      </c>
      <c r="C20" s="28">
        <v>95.1</v>
      </c>
      <c r="D20" s="25">
        <v>2.67</v>
      </c>
      <c r="E20" s="29">
        <v>77.2</v>
      </c>
      <c r="F20" s="29">
        <v>95.3</v>
      </c>
      <c r="G20" s="25">
        <v>11</v>
      </c>
      <c r="H20" s="24">
        <v>25060203</v>
      </c>
    </row>
    <row r="21" ht="16.5" spans="1:8">
      <c r="A21" s="30" t="s">
        <v>2300</v>
      </c>
      <c r="B21" s="24">
        <v>807</v>
      </c>
      <c r="C21" s="28">
        <v>123.6</v>
      </c>
      <c r="D21" s="25">
        <v>3.21</v>
      </c>
      <c r="E21" s="29">
        <v>79.1</v>
      </c>
      <c r="F21" s="29">
        <v>95.7</v>
      </c>
      <c r="G21" s="25">
        <v>12.03</v>
      </c>
      <c r="H21" s="24">
        <v>25060237</v>
      </c>
    </row>
    <row r="22" ht="16.5" spans="1:8">
      <c r="A22" s="104" t="s">
        <v>2301</v>
      </c>
      <c r="B22" s="24">
        <v>254.4</v>
      </c>
      <c r="C22" s="28">
        <v>224.6</v>
      </c>
      <c r="D22" s="25">
        <v>4.49</v>
      </c>
      <c r="E22" s="29">
        <v>83</v>
      </c>
      <c r="F22" s="29">
        <v>95</v>
      </c>
      <c r="G22" s="25">
        <v>11.44</v>
      </c>
      <c r="H22" s="24">
        <v>25070263</v>
      </c>
    </row>
    <row r="23" ht="16.5" spans="1:8">
      <c r="A23" s="30" t="s">
        <v>2302</v>
      </c>
      <c r="B23" s="24">
        <v>835.2</v>
      </c>
      <c r="C23" s="28">
        <v>108.7</v>
      </c>
      <c r="D23" s="25">
        <v>2.96</v>
      </c>
      <c r="E23" s="29">
        <v>79.8</v>
      </c>
      <c r="F23" s="29">
        <v>95.3</v>
      </c>
      <c r="G23" s="25">
        <v>11.4</v>
      </c>
      <c r="H23" s="24">
        <v>25070266</v>
      </c>
    </row>
    <row r="24" ht="16.5" spans="1:8">
      <c r="A24" s="104" t="s">
        <v>2218</v>
      </c>
      <c r="B24" s="24">
        <v>277.8</v>
      </c>
      <c r="C24" s="28">
        <v>156.1</v>
      </c>
      <c r="D24" s="25">
        <v>4.29</v>
      </c>
      <c r="E24" s="29">
        <v>76.4</v>
      </c>
      <c r="F24" s="29">
        <v>93.4</v>
      </c>
      <c r="G24" s="25">
        <v>11.45</v>
      </c>
      <c r="H24" s="24">
        <v>25070320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6:B7 B9:B13 B15:B17 B19:B24 C6:C24 B3:C5"/>
  </dataValidations>
  <pageMargins left="0.75" right="0.75" top="1" bottom="1" header="0.5" footer="0.5"/>
  <pageSetup paperSize="9" orientation="portrait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J1" sqref="J$1:T$104857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16">
        <v>913</v>
      </c>
      <c r="B1" s="2">
        <f>SUM(B3:B30)</f>
        <v>10010.8</v>
      </c>
      <c r="C1" s="3" cm="1">
        <f t="array" ref="C1">SUMPRODUCT(C3:C30*B3:B30)/B1</f>
        <v>217.744198265873</v>
      </c>
      <c r="D1" s="4" cm="1">
        <f t="array" ref="D1">SUMPRODUCT(B3:B30*D3:D30)/B1</f>
        <v>4.96331022495704</v>
      </c>
      <c r="E1" s="3" cm="1">
        <f t="array" ref="E1">SUMPRODUCT(B3:B30*E3:E30)/B1</f>
        <v>81.4759000279698</v>
      </c>
      <c r="F1" s="3" cm="1">
        <f t="array" ref="F1">SUMPRODUCT(B3:B30*F3:F30)/B1</f>
        <v>94.7022335877252</v>
      </c>
    </row>
    <row r="2" ht="16.5" spans="1:7">
      <c r="A2" s="6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2303</v>
      </c>
      <c r="B3" s="9">
        <v>247.8</v>
      </c>
      <c r="C3" s="10">
        <v>227.6</v>
      </c>
      <c r="D3" s="11">
        <v>5.92</v>
      </c>
      <c r="E3" s="12">
        <v>83.8</v>
      </c>
      <c r="F3" s="12">
        <v>95.7</v>
      </c>
      <c r="G3" s="34">
        <v>25030355</v>
      </c>
    </row>
    <row r="4" ht="16.5" spans="1:7">
      <c r="A4" s="68" t="s">
        <v>851</v>
      </c>
      <c r="B4" s="9">
        <v>234.6</v>
      </c>
      <c r="C4" s="10">
        <v>214.4</v>
      </c>
      <c r="D4" s="11">
        <v>5.38</v>
      </c>
      <c r="E4" s="12">
        <v>84.8</v>
      </c>
      <c r="F4" s="12">
        <v>97.1</v>
      </c>
      <c r="G4" s="34">
        <v>25030396</v>
      </c>
    </row>
    <row r="5" ht="16.5" spans="1:7">
      <c r="A5" s="39" t="s">
        <v>906</v>
      </c>
      <c r="B5" s="9">
        <v>449.6</v>
      </c>
      <c r="C5" s="10">
        <v>222.3</v>
      </c>
      <c r="D5" s="11">
        <v>4.52</v>
      </c>
      <c r="E5" s="12">
        <v>90.4</v>
      </c>
      <c r="F5" s="12">
        <v>98.9</v>
      </c>
      <c r="G5" s="34">
        <v>25030487</v>
      </c>
    </row>
    <row r="6" ht="16.5" spans="1:7">
      <c r="A6" s="39" t="s">
        <v>2304</v>
      </c>
      <c r="B6" s="9">
        <v>361.2</v>
      </c>
      <c r="C6" s="10">
        <v>228</v>
      </c>
      <c r="D6" s="11">
        <v>5.87</v>
      </c>
      <c r="E6" s="12">
        <v>82.2</v>
      </c>
      <c r="F6" s="12">
        <v>95.4</v>
      </c>
      <c r="G6" s="34">
        <v>25050018</v>
      </c>
    </row>
    <row r="7" ht="16.5" spans="1:7">
      <c r="A7" s="39" t="s">
        <v>2305</v>
      </c>
      <c r="B7" s="9">
        <v>340.8</v>
      </c>
      <c r="C7" s="10">
        <v>219.5</v>
      </c>
      <c r="D7" s="11">
        <v>5.76</v>
      </c>
      <c r="E7" s="12">
        <v>81.7</v>
      </c>
      <c r="F7" s="12">
        <v>95</v>
      </c>
      <c r="G7" s="34">
        <v>25050019</v>
      </c>
    </row>
    <row r="8" ht="16.5" spans="1:7">
      <c r="A8" s="39" t="s">
        <v>2306</v>
      </c>
      <c r="B8" s="9">
        <v>494.8</v>
      </c>
      <c r="C8" s="10">
        <v>222.5</v>
      </c>
      <c r="D8" s="11">
        <v>4.61</v>
      </c>
      <c r="E8" s="12">
        <v>87.8</v>
      </c>
      <c r="F8" s="12">
        <v>97.7</v>
      </c>
      <c r="G8" s="34">
        <v>25040261</v>
      </c>
    </row>
    <row r="9" ht="16.5" spans="1:7">
      <c r="A9" s="39" t="s">
        <v>2307</v>
      </c>
      <c r="B9" s="9">
        <v>472.4</v>
      </c>
      <c r="C9" s="10">
        <v>222.3</v>
      </c>
      <c r="D9" s="11">
        <v>4.11</v>
      </c>
      <c r="E9" s="12">
        <v>88.2</v>
      </c>
      <c r="F9" s="12">
        <v>98.2</v>
      </c>
      <c r="G9" s="34">
        <v>25040354</v>
      </c>
    </row>
    <row r="10" ht="16.5" spans="1:7">
      <c r="A10" s="39" t="s">
        <v>2308</v>
      </c>
      <c r="B10" s="9">
        <v>775.4</v>
      </c>
      <c r="C10" s="10">
        <v>207</v>
      </c>
      <c r="D10" s="11">
        <v>5.22</v>
      </c>
      <c r="E10" s="12">
        <v>73.2</v>
      </c>
      <c r="F10" s="12">
        <v>90.8</v>
      </c>
      <c r="G10" s="34">
        <v>25030303</v>
      </c>
    </row>
    <row r="11" ht="16.5" spans="1:7">
      <c r="A11" s="39" t="s">
        <v>2309</v>
      </c>
      <c r="B11" s="9">
        <v>498.4</v>
      </c>
      <c r="C11" s="10">
        <v>225.2</v>
      </c>
      <c r="D11" s="11">
        <v>4.11</v>
      </c>
      <c r="E11" s="12">
        <v>87.9</v>
      </c>
      <c r="F11" s="12">
        <v>97.9</v>
      </c>
      <c r="G11" s="34">
        <v>25040355</v>
      </c>
    </row>
    <row r="12" ht="16.5" spans="1:7">
      <c r="A12" s="39" t="s">
        <v>2310</v>
      </c>
      <c r="B12" s="9">
        <v>380.2</v>
      </c>
      <c r="C12" s="10">
        <v>195.4</v>
      </c>
      <c r="D12" s="11">
        <v>5.22</v>
      </c>
      <c r="E12" s="12">
        <v>71.7</v>
      </c>
      <c r="F12" s="12">
        <v>91</v>
      </c>
      <c r="G12" s="34">
        <v>25030320</v>
      </c>
    </row>
    <row r="13" ht="16.5" spans="1:7">
      <c r="A13" s="39" t="s">
        <v>2311</v>
      </c>
      <c r="B13" s="9">
        <v>442.4</v>
      </c>
      <c r="C13" s="10">
        <v>230.5</v>
      </c>
      <c r="D13" s="11">
        <v>4.38</v>
      </c>
      <c r="E13" s="12">
        <v>85.5</v>
      </c>
      <c r="F13" s="12">
        <v>97.1</v>
      </c>
      <c r="G13" s="34">
        <v>25070331</v>
      </c>
    </row>
    <row r="14" ht="16.5" spans="1:7">
      <c r="A14" s="68" t="s">
        <v>2312</v>
      </c>
      <c r="B14" s="9">
        <v>489.4</v>
      </c>
      <c r="C14" s="10">
        <v>226.5</v>
      </c>
      <c r="D14" s="11">
        <v>4.75</v>
      </c>
      <c r="E14" s="12">
        <v>88.9</v>
      </c>
      <c r="F14" s="12">
        <v>97.6</v>
      </c>
      <c r="G14" s="34">
        <v>25040517</v>
      </c>
    </row>
    <row r="15" ht="16.5" spans="1:7">
      <c r="A15" s="39" t="s">
        <v>2313</v>
      </c>
      <c r="B15" s="9">
        <v>494.2</v>
      </c>
      <c r="C15" s="10">
        <v>205.5</v>
      </c>
      <c r="D15" s="11">
        <v>5.22</v>
      </c>
      <c r="E15" s="12">
        <v>73</v>
      </c>
      <c r="F15" s="12">
        <v>90.7</v>
      </c>
      <c r="G15" s="34">
        <v>25030304</v>
      </c>
    </row>
    <row r="16" ht="16.5" spans="1:7">
      <c r="A16" s="54" t="s">
        <v>2314</v>
      </c>
      <c r="B16" s="9">
        <v>838.8</v>
      </c>
      <c r="C16" s="10">
        <v>205.7</v>
      </c>
      <c r="D16" s="11">
        <v>4.61</v>
      </c>
      <c r="E16" s="12">
        <v>76.8</v>
      </c>
      <c r="F16" s="12">
        <v>92.3</v>
      </c>
      <c r="G16" s="34">
        <v>25060319</v>
      </c>
    </row>
    <row r="17" ht="16.5" spans="1:7">
      <c r="A17" s="39" t="s">
        <v>932</v>
      </c>
      <c r="B17" s="9">
        <v>528.4</v>
      </c>
      <c r="C17" s="10">
        <v>235.1</v>
      </c>
      <c r="D17" s="11">
        <v>5.49</v>
      </c>
      <c r="E17" s="12">
        <v>83.5</v>
      </c>
      <c r="F17" s="12">
        <v>96</v>
      </c>
      <c r="G17" s="34">
        <v>25020458</v>
      </c>
    </row>
    <row r="18" ht="16.5" spans="1:7">
      <c r="A18" s="54" t="s">
        <v>2315</v>
      </c>
      <c r="B18" s="9">
        <v>473.2</v>
      </c>
      <c r="C18" s="10">
        <v>204.2</v>
      </c>
      <c r="D18" s="11">
        <v>4.55</v>
      </c>
      <c r="E18" s="12">
        <v>76.1</v>
      </c>
      <c r="F18" s="12">
        <v>91.9</v>
      </c>
      <c r="G18" s="34">
        <v>25060320</v>
      </c>
    </row>
    <row r="19" ht="16.5" spans="1:7">
      <c r="A19" s="39" t="s">
        <v>2316</v>
      </c>
      <c r="B19" s="9">
        <v>300.8</v>
      </c>
      <c r="C19" s="10">
        <v>232.6</v>
      </c>
      <c r="D19" s="11">
        <v>5.66</v>
      </c>
      <c r="E19" s="12">
        <v>85.8</v>
      </c>
      <c r="F19" s="12">
        <v>97</v>
      </c>
      <c r="G19" s="34">
        <v>25020457</v>
      </c>
    </row>
    <row r="20" ht="16.5" spans="1:7">
      <c r="A20" s="54" t="s">
        <v>2317</v>
      </c>
      <c r="B20" s="9">
        <v>662.6</v>
      </c>
      <c r="C20" s="10">
        <v>192.4</v>
      </c>
      <c r="D20" s="11">
        <v>4.2</v>
      </c>
      <c r="E20" s="12">
        <v>73.3</v>
      </c>
      <c r="F20" s="12">
        <v>90.9</v>
      </c>
      <c r="G20" s="34">
        <v>25060321</v>
      </c>
    </row>
    <row r="21" ht="16.5" spans="1:7">
      <c r="A21" s="75" t="s">
        <v>2318</v>
      </c>
      <c r="B21" s="9">
        <v>532</v>
      </c>
      <c r="C21" s="10">
        <v>231.4</v>
      </c>
      <c r="D21" s="11">
        <v>5.87</v>
      </c>
      <c r="E21" s="12">
        <v>77</v>
      </c>
      <c r="F21" s="12">
        <v>90.7</v>
      </c>
      <c r="G21" s="34">
        <v>24060429</v>
      </c>
    </row>
    <row r="22" ht="16.5" spans="1:7">
      <c r="A22" s="39" t="s">
        <v>2319</v>
      </c>
      <c r="B22" s="9">
        <v>471.2</v>
      </c>
      <c r="C22" s="10">
        <v>226.5</v>
      </c>
      <c r="D22" s="11">
        <v>4.49</v>
      </c>
      <c r="E22" s="12">
        <v>88.1</v>
      </c>
      <c r="F22" s="12">
        <v>97.8</v>
      </c>
      <c r="G22" s="34">
        <v>25070081</v>
      </c>
    </row>
    <row r="23" ht="16.5" spans="1:7">
      <c r="A23" s="39" t="s">
        <v>2052</v>
      </c>
      <c r="B23" s="9">
        <v>522.6</v>
      </c>
      <c r="C23" s="10">
        <v>227.3</v>
      </c>
      <c r="D23" s="11">
        <v>5.84</v>
      </c>
      <c r="E23" s="12">
        <v>86.2</v>
      </c>
      <c r="F23" s="12">
        <v>97.2</v>
      </c>
      <c r="G23" s="9">
        <v>25030051</v>
      </c>
    </row>
  </sheetData>
  <conditionalFormatting sqref="A5">
    <cfRule type="duplicateValues" dxfId="0" priority="36"/>
  </conditionalFormatting>
  <conditionalFormatting sqref="A6">
    <cfRule type="duplicateValues" dxfId="0" priority="35"/>
  </conditionalFormatting>
  <conditionalFormatting sqref="A7">
    <cfRule type="duplicateValues" dxfId="0" priority="34"/>
  </conditionalFormatting>
  <conditionalFormatting sqref="A10">
    <cfRule type="duplicateValues" dxfId="0" priority="32"/>
  </conditionalFormatting>
  <conditionalFormatting sqref="A11">
    <cfRule type="duplicateValues" dxfId="0" priority="31"/>
  </conditionalFormatting>
  <conditionalFormatting sqref="A12">
    <cfRule type="duplicateValues" dxfId="0" priority="30"/>
  </conditionalFormatting>
  <conditionalFormatting sqref="A13">
    <cfRule type="duplicateValues" dxfId="0" priority="29"/>
  </conditionalFormatting>
  <conditionalFormatting sqref="A14">
    <cfRule type="duplicateValues" dxfId="0" priority="28"/>
  </conditionalFormatting>
  <conditionalFormatting sqref="A15">
    <cfRule type="duplicateValues" dxfId="0" priority="27"/>
  </conditionalFormatting>
  <conditionalFormatting sqref="A16">
    <cfRule type="duplicateValues" dxfId="0" priority="26"/>
  </conditionalFormatting>
  <conditionalFormatting sqref="A17">
    <cfRule type="duplicateValues" dxfId="0" priority="25"/>
  </conditionalFormatting>
  <conditionalFormatting sqref="A18">
    <cfRule type="duplicateValues" dxfId="0" priority="24"/>
  </conditionalFormatting>
  <conditionalFormatting sqref="A19">
    <cfRule type="duplicateValues" dxfId="0" priority="23"/>
  </conditionalFormatting>
  <conditionalFormatting sqref="A20">
    <cfRule type="duplicateValues" dxfId="0" priority="22"/>
  </conditionalFormatting>
  <conditionalFormatting sqref="A22">
    <cfRule type="duplicateValues" dxfId="0" priority="21"/>
  </conditionalFormatting>
  <conditionalFormatting sqref="A23">
    <cfRule type="duplicateValues" dxfId="0" priority="20"/>
  </conditionalFormatting>
  <conditionalFormatting sqref="A1:A2">
    <cfRule type="duplicateValues" dxfId="0" priority="38"/>
  </conditionalFormatting>
  <conditionalFormatting sqref="A3:A4">
    <cfRule type="duplicateValues" dxfId="0" priority="37"/>
  </conditionalFormatting>
  <conditionalFormatting sqref="A8:A9">
    <cfRule type="duplicateValues" dxfId="0" priority="33"/>
  </conditionalFormatting>
  <dataValidations count="1">
    <dataValidation allowBlank="1" showInputMessage="1" showErrorMessage="1" sqref="B3:C3 B10 B4:B8 B13:B23 C4:C23"/>
  </dataValidations>
  <pageMargins left="0.75" right="0.75" top="1" bottom="1" header="0.5" footer="0.5"/>
  <pageSetup paperSize="9" orientation="portrait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23" sqref="A23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914</v>
      </c>
      <c r="B1" s="2">
        <f>SUM(B3:B30)</f>
        <v>9717.4</v>
      </c>
      <c r="C1" s="3" cm="1">
        <f t="array" ref="C1">SUMPRODUCT(C3:C30*B3:B30)/B1</f>
        <v>155.744151727828</v>
      </c>
      <c r="D1" s="4" cm="1">
        <f t="array" ref="D1">SUMPRODUCT(B3:B30*D3:D30)/B1</f>
        <v>3.79378064091218</v>
      </c>
      <c r="E1" s="3" cm="1">
        <f t="array" ref="E1">SUMPRODUCT(B3:B30*E3:E30)/B1</f>
        <v>77.7395270339803</v>
      </c>
      <c r="F1" s="3" cm="1">
        <f t="array" ref="F1">SUMPRODUCT(B3:B30*F3:F30)/B1</f>
        <v>94.1312696811904</v>
      </c>
      <c r="G1" s="3" cm="1">
        <f t="array" ref="G1">SUMPRODUCT(B3:B30*G3:G30)/B1</f>
        <v>11.8480694424434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68" t="s">
        <v>2320</v>
      </c>
      <c r="B3" s="9">
        <v>364.2</v>
      </c>
      <c r="C3" s="10">
        <v>152</v>
      </c>
      <c r="D3" s="11">
        <v>4.57</v>
      </c>
      <c r="E3" s="12">
        <v>64.7</v>
      </c>
      <c r="F3" s="12">
        <v>85.6</v>
      </c>
      <c r="G3" s="11">
        <v>12.88</v>
      </c>
      <c r="H3" s="9">
        <v>24060224</v>
      </c>
    </row>
    <row r="4" ht="16.5" spans="1:8">
      <c r="A4" s="68" t="s">
        <v>2321</v>
      </c>
      <c r="B4" s="9">
        <v>451.2</v>
      </c>
      <c r="C4" s="10">
        <v>195.7</v>
      </c>
      <c r="D4" s="11">
        <v>5.16</v>
      </c>
      <c r="E4" s="12">
        <v>73.2</v>
      </c>
      <c r="F4" s="12">
        <v>91.7</v>
      </c>
      <c r="G4" s="11">
        <v>11.47</v>
      </c>
      <c r="H4" s="9">
        <v>25020193</v>
      </c>
    </row>
    <row r="5" ht="16.5" spans="1:8">
      <c r="A5" s="68" t="s">
        <v>2322</v>
      </c>
      <c r="B5" s="9">
        <v>755.8</v>
      </c>
      <c r="C5" s="10">
        <v>93.2</v>
      </c>
      <c r="D5" s="11">
        <v>2.7</v>
      </c>
      <c r="E5" s="12">
        <v>81.4</v>
      </c>
      <c r="F5" s="12">
        <v>97.4</v>
      </c>
      <c r="G5" s="11">
        <v>12.68</v>
      </c>
      <c r="H5" s="9">
        <v>25080013</v>
      </c>
    </row>
    <row r="6" ht="16.5" spans="1:8">
      <c r="A6" s="68" t="s">
        <v>2323</v>
      </c>
      <c r="B6" s="9">
        <v>242.6</v>
      </c>
      <c r="C6" s="10">
        <v>264.1</v>
      </c>
      <c r="D6" s="11">
        <v>5.52</v>
      </c>
      <c r="E6" s="12">
        <v>89.1</v>
      </c>
      <c r="F6" s="12">
        <v>98.1</v>
      </c>
      <c r="G6" s="11">
        <v>10.27</v>
      </c>
      <c r="H6" s="9">
        <v>25020454</v>
      </c>
    </row>
    <row r="7" ht="16.5" spans="1:8">
      <c r="A7" s="39" t="s">
        <v>2324</v>
      </c>
      <c r="B7" s="9">
        <v>217.8</v>
      </c>
      <c r="C7" s="10">
        <v>107.6</v>
      </c>
      <c r="D7" s="11">
        <v>2.9</v>
      </c>
      <c r="E7" s="12">
        <v>73.9</v>
      </c>
      <c r="F7" s="12">
        <v>93</v>
      </c>
      <c r="G7" s="11">
        <v>11.61</v>
      </c>
      <c r="H7" s="9">
        <v>25070062</v>
      </c>
    </row>
    <row r="8" ht="16.5" spans="1:8">
      <c r="A8" s="39" t="s">
        <v>2325</v>
      </c>
      <c r="B8" s="9">
        <v>299.4</v>
      </c>
      <c r="C8" s="10">
        <v>95.8</v>
      </c>
      <c r="D8" s="11">
        <v>2.9</v>
      </c>
      <c r="E8" s="12">
        <v>80.5</v>
      </c>
      <c r="F8" s="12">
        <v>97.3</v>
      </c>
      <c r="G8" s="11">
        <v>11.99</v>
      </c>
      <c r="H8" s="9">
        <v>25070150</v>
      </c>
    </row>
    <row r="9" ht="16.5" spans="1:8">
      <c r="A9" s="39" t="s">
        <v>2326</v>
      </c>
      <c r="B9" s="9">
        <v>483.8</v>
      </c>
      <c r="C9" s="10">
        <v>262.5</v>
      </c>
      <c r="D9" s="11">
        <v>4.52</v>
      </c>
      <c r="E9" s="12">
        <v>87.9</v>
      </c>
      <c r="F9" s="12">
        <v>97.5</v>
      </c>
      <c r="G9" s="11">
        <v>11.84</v>
      </c>
      <c r="H9" s="9">
        <v>25080082</v>
      </c>
    </row>
    <row r="10" ht="16.5" spans="1:8">
      <c r="A10" s="39" t="s">
        <v>2327</v>
      </c>
      <c r="B10" s="9">
        <v>505.8</v>
      </c>
      <c r="C10" s="10">
        <v>191.9</v>
      </c>
      <c r="D10" s="11">
        <v>5.52</v>
      </c>
      <c r="E10" s="12">
        <v>64.8</v>
      </c>
      <c r="F10" s="12">
        <v>85.4</v>
      </c>
      <c r="G10" s="11">
        <v>12.84</v>
      </c>
      <c r="H10" s="9">
        <v>24060220</v>
      </c>
    </row>
    <row r="11" ht="16.5" spans="1:8">
      <c r="A11" s="39" t="s">
        <v>2328</v>
      </c>
      <c r="B11" s="9">
        <v>367</v>
      </c>
      <c r="C11" s="10">
        <v>90.3</v>
      </c>
      <c r="D11" s="11">
        <v>2.54</v>
      </c>
      <c r="E11" s="12">
        <v>76.2</v>
      </c>
      <c r="F11" s="12">
        <v>95.5</v>
      </c>
      <c r="G11" s="11">
        <v>11.84</v>
      </c>
      <c r="H11" s="9">
        <v>25070357</v>
      </c>
    </row>
    <row r="12" ht="16.5" spans="1:8">
      <c r="A12" s="39" t="s">
        <v>2329</v>
      </c>
      <c r="B12" s="9">
        <v>217.4</v>
      </c>
      <c r="C12" s="10">
        <v>101.8</v>
      </c>
      <c r="D12" s="11">
        <v>2.9</v>
      </c>
      <c r="E12" s="12">
        <v>75.9</v>
      </c>
      <c r="F12" s="12">
        <v>94.8</v>
      </c>
      <c r="G12" s="11">
        <v>11.27</v>
      </c>
      <c r="H12" s="9">
        <v>25080030</v>
      </c>
    </row>
    <row r="13" ht="16.5" spans="1:8">
      <c r="A13" s="39" t="s">
        <v>2330</v>
      </c>
      <c r="B13" s="9">
        <v>563.2</v>
      </c>
      <c r="C13" s="10">
        <v>200.9</v>
      </c>
      <c r="D13" s="11">
        <v>5.68</v>
      </c>
      <c r="E13" s="12">
        <v>67.3</v>
      </c>
      <c r="F13" s="12">
        <v>86.6</v>
      </c>
      <c r="G13" s="11">
        <v>12.24</v>
      </c>
      <c r="H13" s="9">
        <v>24060219</v>
      </c>
    </row>
    <row r="14" ht="16.5" spans="1:8">
      <c r="A14" s="39" t="s">
        <v>2331</v>
      </c>
      <c r="B14" s="9">
        <v>886.6</v>
      </c>
      <c r="C14" s="10">
        <v>96.5</v>
      </c>
      <c r="D14" s="11">
        <v>2.77</v>
      </c>
      <c r="E14" s="12">
        <v>81.1</v>
      </c>
      <c r="F14" s="12">
        <v>97.1</v>
      </c>
      <c r="G14" s="11">
        <v>12.74</v>
      </c>
      <c r="H14" s="9">
        <v>25080012</v>
      </c>
    </row>
    <row r="15" ht="16.5" spans="1:8">
      <c r="A15" s="39" t="s">
        <v>2332</v>
      </c>
      <c r="B15" s="9">
        <v>505.2</v>
      </c>
      <c r="C15" s="10">
        <v>185.6</v>
      </c>
      <c r="D15" s="11">
        <v>5.19</v>
      </c>
      <c r="E15" s="12">
        <v>56.5</v>
      </c>
      <c r="F15" s="12">
        <v>83.6</v>
      </c>
      <c r="G15" s="11">
        <v>11.95</v>
      </c>
      <c r="H15" s="9">
        <v>25020279</v>
      </c>
    </row>
    <row r="16" ht="16.5" spans="1:8">
      <c r="A16" s="39" t="s">
        <v>2333</v>
      </c>
      <c r="B16" s="9">
        <v>495</v>
      </c>
      <c r="C16" s="10">
        <v>103.7</v>
      </c>
      <c r="D16" s="11">
        <v>2.93</v>
      </c>
      <c r="E16" s="12">
        <v>77.7</v>
      </c>
      <c r="F16" s="12">
        <v>95.7</v>
      </c>
      <c r="G16" s="11">
        <v>11.95</v>
      </c>
      <c r="H16" s="9">
        <v>25080026</v>
      </c>
    </row>
    <row r="17" ht="16.5" spans="1:8">
      <c r="A17" s="39" t="s">
        <v>2334</v>
      </c>
      <c r="B17" s="9">
        <v>516</v>
      </c>
      <c r="C17" s="10">
        <v>285</v>
      </c>
      <c r="D17" s="11">
        <v>5.13</v>
      </c>
      <c r="E17" s="12">
        <v>91.5</v>
      </c>
      <c r="F17" s="12">
        <v>98.7</v>
      </c>
      <c r="G17" s="11">
        <v>9.83</v>
      </c>
      <c r="H17" s="9">
        <v>25030062</v>
      </c>
    </row>
    <row r="18" ht="16.5" spans="1:8">
      <c r="A18" s="39" t="s">
        <v>2335</v>
      </c>
      <c r="B18" s="9">
        <v>526.2</v>
      </c>
      <c r="C18" s="10">
        <v>97.5</v>
      </c>
      <c r="D18" s="11">
        <v>2.9</v>
      </c>
      <c r="E18" s="12">
        <v>79.6</v>
      </c>
      <c r="F18" s="12">
        <v>96.4</v>
      </c>
      <c r="G18" s="11">
        <v>11.41</v>
      </c>
      <c r="H18" s="9">
        <v>25060282</v>
      </c>
    </row>
    <row r="19" ht="16.5" spans="1:8">
      <c r="A19" s="39" t="s">
        <v>2336</v>
      </c>
      <c r="B19" s="9">
        <v>500.8</v>
      </c>
      <c r="C19" s="10">
        <v>95.4</v>
      </c>
      <c r="D19" s="11">
        <v>2.74</v>
      </c>
      <c r="E19" s="12">
        <v>77.6</v>
      </c>
      <c r="F19" s="12">
        <v>95</v>
      </c>
      <c r="G19" s="11">
        <v>11.84</v>
      </c>
      <c r="H19" s="9">
        <v>25060283</v>
      </c>
    </row>
    <row r="20" ht="16.5" spans="1:8">
      <c r="A20" s="39" t="s">
        <v>2337</v>
      </c>
      <c r="B20" s="9">
        <v>742.2</v>
      </c>
      <c r="C20" s="10">
        <v>278.8</v>
      </c>
      <c r="D20" s="11">
        <v>4.15</v>
      </c>
      <c r="E20" s="12">
        <v>90.2</v>
      </c>
      <c r="F20" s="12">
        <v>98.4</v>
      </c>
      <c r="G20" s="11">
        <v>11.23</v>
      </c>
      <c r="H20" s="9">
        <v>25070221</v>
      </c>
    </row>
    <row r="21" ht="16.5" spans="1:8">
      <c r="A21" s="39" t="s">
        <v>2338</v>
      </c>
      <c r="B21" s="9">
        <v>509.2</v>
      </c>
      <c r="C21" s="10">
        <v>99.7</v>
      </c>
      <c r="D21" s="11">
        <v>2.93</v>
      </c>
      <c r="E21" s="12">
        <v>80.1</v>
      </c>
      <c r="F21" s="12">
        <v>96.2</v>
      </c>
      <c r="G21" s="11">
        <v>11.83</v>
      </c>
      <c r="H21" s="9">
        <v>25060280</v>
      </c>
    </row>
    <row r="22" ht="16.5" spans="1:8">
      <c r="A22" s="39" t="s">
        <v>2339</v>
      </c>
      <c r="B22" s="9">
        <v>568</v>
      </c>
      <c r="C22" s="10">
        <v>98.9</v>
      </c>
      <c r="D22" s="11">
        <v>2.83</v>
      </c>
      <c r="E22" s="12">
        <v>76.1</v>
      </c>
      <c r="F22" s="12">
        <v>94.4</v>
      </c>
      <c r="G22" s="11">
        <v>11.53</v>
      </c>
      <c r="H22" s="9">
        <v>25070256</v>
      </c>
    </row>
    <row r="23" ht="16.5" spans="1:8">
      <c r="A23" s="131">
        <v>20250912</v>
      </c>
      <c r="B23" s="131"/>
    </row>
  </sheetData>
  <conditionalFormatting sqref="A1:A2">
    <cfRule type="duplicateValues" dxfId="0" priority="1"/>
  </conditionalFormatting>
  <dataValidations count="1">
    <dataValidation allowBlank="1" showInputMessage="1" showErrorMessage="1" sqref="B3:C22"/>
  </dataValidations>
  <pageMargins left="0.75" right="0.75" top="1" bottom="1" header="0.5" footer="0.5"/>
  <pageSetup paperSize="9" orientation="portrait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J1" sqref="J$1:U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915</v>
      </c>
      <c r="B1" s="2">
        <f>SUM(B3:B30)</f>
        <v>10082.2</v>
      </c>
      <c r="C1" s="3" cm="1">
        <f t="array" ref="C1">SUMPRODUCT(C3:C30*B3:B30)/B1</f>
        <v>155.40532423479</v>
      </c>
      <c r="D1" s="4" cm="1">
        <f t="array" ref="D1">SUMPRODUCT(B3:B30*D3:D30)/B1</f>
        <v>3.78626668782607</v>
      </c>
      <c r="E1" s="3" cm="1">
        <f t="array" ref="E1">SUMPRODUCT(B3:B30*E3:E30)/B1</f>
        <v>79.8246811211838</v>
      </c>
      <c r="F1" s="3" cm="1">
        <f t="array" ref="F1">SUMPRODUCT(B3:B30*F3:F30)/B1</f>
        <v>95.0502549046835</v>
      </c>
      <c r="G1" s="3" cm="1">
        <f t="array" ref="G1">SUMPRODUCT(B3:B30*G3:G30)/B1</f>
        <v>11.8041881732162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19">
        <v>820</v>
      </c>
      <c r="B3" s="19">
        <v>5000</v>
      </c>
      <c r="C3" s="1">
        <v>206.4</v>
      </c>
      <c r="D3" s="1">
        <v>4.79</v>
      </c>
      <c r="E3" s="2">
        <v>82.1</v>
      </c>
      <c r="F3" s="2">
        <v>95</v>
      </c>
      <c r="G3" s="51">
        <v>11.87</v>
      </c>
      <c r="H3" s="60"/>
    </row>
    <row r="4" ht="16.5" spans="1:8">
      <c r="A4" s="39" t="s">
        <v>2340</v>
      </c>
      <c r="B4" s="9">
        <v>504.2</v>
      </c>
      <c r="C4" s="10">
        <v>117.9</v>
      </c>
      <c r="D4" s="11">
        <v>3.06</v>
      </c>
      <c r="E4" s="12">
        <v>75.6</v>
      </c>
      <c r="F4" s="12">
        <v>93.3</v>
      </c>
      <c r="G4" s="11">
        <v>11.99</v>
      </c>
      <c r="H4" s="9">
        <v>25060119</v>
      </c>
    </row>
    <row r="5" ht="16.5" spans="1:8">
      <c r="A5" s="39" t="s">
        <v>2341</v>
      </c>
      <c r="B5" s="9">
        <v>853</v>
      </c>
      <c r="C5" s="10">
        <v>104.7</v>
      </c>
      <c r="D5" s="11">
        <v>2.83</v>
      </c>
      <c r="E5" s="12">
        <v>78.7</v>
      </c>
      <c r="F5" s="12">
        <v>95.7</v>
      </c>
      <c r="G5" s="11">
        <v>11.93</v>
      </c>
      <c r="H5" s="9">
        <v>25060169</v>
      </c>
    </row>
    <row r="6" ht="16.5" spans="1:8">
      <c r="A6" s="39" t="s">
        <v>2342</v>
      </c>
      <c r="B6" s="9">
        <v>331.8</v>
      </c>
      <c r="C6" s="10">
        <v>94.2</v>
      </c>
      <c r="D6" s="11">
        <v>2.67</v>
      </c>
      <c r="E6" s="12">
        <v>76.5</v>
      </c>
      <c r="F6" s="12">
        <v>95.5</v>
      </c>
      <c r="G6" s="11">
        <v>11.24</v>
      </c>
      <c r="H6" s="9">
        <v>25060204</v>
      </c>
    </row>
    <row r="7" ht="16.5" spans="1:8">
      <c r="A7" s="39" t="s">
        <v>2343</v>
      </c>
      <c r="B7" s="9">
        <v>321.2</v>
      </c>
      <c r="C7" s="10">
        <v>95</v>
      </c>
      <c r="D7" s="11">
        <v>2.67</v>
      </c>
      <c r="E7" s="12">
        <v>78.5</v>
      </c>
      <c r="F7" s="12">
        <v>95.9</v>
      </c>
      <c r="G7" s="11">
        <v>11.53</v>
      </c>
      <c r="H7" s="9">
        <v>25060202</v>
      </c>
    </row>
    <row r="8" ht="16.5" spans="1:8">
      <c r="A8" s="75" t="s">
        <v>2344</v>
      </c>
      <c r="B8" s="9">
        <v>245</v>
      </c>
      <c r="C8" s="10">
        <v>120</v>
      </c>
      <c r="D8" s="11">
        <v>2.96</v>
      </c>
      <c r="E8" s="12">
        <v>76.6</v>
      </c>
      <c r="F8" s="12">
        <v>93.6</v>
      </c>
      <c r="G8" s="11">
        <v>11.77</v>
      </c>
      <c r="H8" s="9">
        <v>25060266</v>
      </c>
    </row>
    <row r="9" ht="16.5" spans="1:8">
      <c r="A9" s="39" t="s">
        <v>2345</v>
      </c>
      <c r="B9" s="9">
        <v>378.8</v>
      </c>
      <c r="C9" s="10">
        <v>100.9</v>
      </c>
      <c r="D9" s="11">
        <v>2.57</v>
      </c>
      <c r="E9" s="12">
        <v>77.3</v>
      </c>
      <c r="F9" s="12">
        <v>95.3</v>
      </c>
      <c r="G9" s="11">
        <v>11.99</v>
      </c>
      <c r="H9" s="9">
        <v>25070046</v>
      </c>
    </row>
    <row r="10" ht="16.5" spans="1:8">
      <c r="A10" s="39" t="s">
        <v>2346</v>
      </c>
      <c r="B10" s="9">
        <v>267.4</v>
      </c>
      <c r="C10" s="10">
        <v>107.8</v>
      </c>
      <c r="D10" s="11">
        <v>2.67</v>
      </c>
      <c r="E10" s="12">
        <v>76.5</v>
      </c>
      <c r="F10" s="12">
        <v>94.5</v>
      </c>
      <c r="G10" s="11">
        <v>10.84</v>
      </c>
      <c r="H10" s="9">
        <v>25070075</v>
      </c>
    </row>
    <row r="11" ht="16.5" spans="1:8">
      <c r="A11" s="39" t="s">
        <v>2347</v>
      </c>
      <c r="B11" s="9">
        <v>246.6</v>
      </c>
      <c r="C11" s="10">
        <v>95.9</v>
      </c>
      <c r="D11" s="11">
        <v>2.44</v>
      </c>
      <c r="E11" s="12">
        <v>72</v>
      </c>
      <c r="F11" s="12">
        <v>92.8</v>
      </c>
      <c r="G11" s="11">
        <v>11.94</v>
      </c>
      <c r="H11" s="9">
        <v>25070189</v>
      </c>
    </row>
    <row r="12" ht="16.5" spans="1:8">
      <c r="A12" s="75" t="s">
        <v>2348</v>
      </c>
      <c r="B12" s="9">
        <v>487.6</v>
      </c>
      <c r="C12" s="10">
        <v>94.4</v>
      </c>
      <c r="D12" s="11">
        <v>2.61</v>
      </c>
      <c r="E12" s="12">
        <v>77.3</v>
      </c>
      <c r="F12" s="12">
        <v>96.5</v>
      </c>
      <c r="G12" s="11">
        <v>11.94</v>
      </c>
      <c r="H12" s="9">
        <v>25070244</v>
      </c>
    </row>
    <row r="13" ht="16.5" spans="1:8">
      <c r="A13" s="39" t="s">
        <v>2349</v>
      </c>
      <c r="B13" s="9">
        <v>724.2</v>
      </c>
      <c r="C13" s="10">
        <v>104.9</v>
      </c>
      <c r="D13" s="11">
        <v>2.9</v>
      </c>
      <c r="E13" s="12">
        <v>79.7</v>
      </c>
      <c r="F13" s="12">
        <v>95.2</v>
      </c>
      <c r="G13" s="11">
        <v>11.64</v>
      </c>
      <c r="H13" s="9">
        <v>25070267</v>
      </c>
    </row>
    <row r="14" ht="16.5" spans="1:8">
      <c r="A14" s="39" t="s">
        <v>2350</v>
      </c>
      <c r="B14" s="9">
        <v>197.2</v>
      </c>
      <c r="C14" s="10">
        <v>117.8</v>
      </c>
      <c r="D14" s="11">
        <v>3.03</v>
      </c>
      <c r="E14" s="12">
        <v>76</v>
      </c>
      <c r="F14" s="12">
        <v>93.8</v>
      </c>
      <c r="G14" s="11">
        <v>11.8</v>
      </c>
      <c r="H14" s="9">
        <v>25030478</v>
      </c>
    </row>
    <row r="15" ht="16.5" spans="1:8">
      <c r="A15" s="75" t="s">
        <v>2351</v>
      </c>
      <c r="B15" s="9">
        <v>525.2</v>
      </c>
      <c r="C15" s="10">
        <v>112.3</v>
      </c>
      <c r="D15" s="11">
        <v>2.93</v>
      </c>
      <c r="E15" s="12">
        <v>79.6</v>
      </c>
      <c r="F15" s="12">
        <v>96.1</v>
      </c>
      <c r="G15" s="11">
        <v>11.73</v>
      </c>
      <c r="H15" s="9">
        <v>25040120</v>
      </c>
    </row>
  </sheetData>
  <conditionalFormatting sqref="A1:A2">
    <cfRule type="duplicateValues" dxfId="0" priority="12"/>
  </conditionalFormatting>
  <dataValidations count="1">
    <dataValidation allowBlank="1" showInputMessage="1" showErrorMessage="1" sqref="B4:B15 C3:C15"/>
  </dataValidations>
  <pageMargins left="0.75" right="0.75" top="1" bottom="1" header="0.5" footer="0.5"/>
  <pageSetup paperSize="9" orientation="portrait"/>
  <headerFooter/>
  <legacy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K14" sqref="K14:K15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916</v>
      </c>
      <c r="B1" s="2">
        <f>SUM(B3:B30)</f>
        <v>10054.6</v>
      </c>
      <c r="C1" s="3" cm="1">
        <f t="array" ref="C1">SUMPRODUCT(C3:C30*B3:B30)/B1</f>
        <v>156.911027788276</v>
      </c>
      <c r="D1" s="4" cm="1">
        <f t="array" ref="D1">SUMPRODUCT(B3:B30*D3:D30)/B1</f>
        <v>3.79661746862133</v>
      </c>
      <c r="E1" s="3" cm="1">
        <f t="array" ref="E1">SUMPRODUCT(B3:B30*E3:E30)/B1</f>
        <v>78.6098780657609</v>
      </c>
      <c r="F1" s="3" cm="1">
        <f t="array" ref="F1">SUMPRODUCT(B3:B30*F3:F30)/B1</f>
        <v>94.3822906928172</v>
      </c>
      <c r="G1" s="3" cm="1">
        <f t="array" ref="G1">SUMPRODUCT(B3:B30*G3:G30)/B1</f>
        <v>11.7110236110835</v>
      </c>
    </row>
    <row r="2" ht="16.5" spans="1:8">
      <c r="A2" s="6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59">
        <v>820</v>
      </c>
      <c r="B3" s="59">
        <v>5000</v>
      </c>
      <c r="C3" s="65">
        <v>206.4</v>
      </c>
      <c r="D3" s="65">
        <v>4.79</v>
      </c>
      <c r="E3" s="5">
        <v>82.1</v>
      </c>
      <c r="F3" s="5">
        <v>95</v>
      </c>
      <c r="G3" s="130">
        <v>11.87</v>
      </c>
    </row>
    <row r="4" ht="16.5" spans="1:8">
      <c r="A4" s="39" t="s">
        <v>2352</v>
      </c>
      <c r="B4" s="9">
        <v>511.4</v>
      </c>
      <c r="C4" s="10">
        <v>113.2</v>
      </c>
      <c r="D4" s="11">
        <v>2.7</v>
      </c>
      <c r="E4" s="12">
        <v>80.4</v>
      </c>
      <c r="F4" s="12">
        <v>96.3</v>
      </c>
      <c r="G4" s="11">
        <v>11.21</v>
      </c>
      <c r="H4" s="34">
        <v>25040195</v>
      </c>
    </row>
    <row r="5" ht="16.5" spans="1:8">
      <c r="A5" s="39" t="s">
        <v>2353</v>
      </c>
      <c r="B5" s="9">
        <v>518.8</v>
      </c>
      <c r="C5" s="10">
        <v>116.3</v>
      </c>
      <c r="D5" s="11">
        <v>2.99</v>
      </c>
      <c r="E5" s="12">
        <v>79.8</v>
      </c>
      <c r="F5" s="12">
        <v>95.9</v>
      </c>
      <c r="G5" s="11">
        <v>11.68</v>
      </c>
      <c r="H5" s="34">
        <v>25040272</v>
      </c>
    </row>
    <row r="6" ht="16.5" spans="1:8">
      <c r="A6" s="39" t="s">
        <v>2354</v>
      </c>
      <c r="B6" s="9">
        <v>461.8</v>
      </c>
      <c r="C6" s="10">
        <v>96.9</v>
      </c>
      <c r="D6" s="11">
        <v>2.31</v>
      </c>
      <c r="E6" s="12">
        <v>81.7</v>
      </c>
      <c r="F6" s="12">
        <v>96.6</v>
      </c>
      <c r="G6" s="11">
        <v>11.87</v>
      </c>
      <c r="H6" s="34">
        <v>25040290</v>
      </c>
    </row>
    <row r="7" ht="16.5" spans="1:8">
      <c r="A7" s="75" t="s">
        <v>2355</v>
      </c>
      <c r="B7" s="9">
        <v>0</v>
      </c>
      <c r="C7" s="10">
        <v>107.6</v>
      </c>
      <c r="D7" s="11">
        <v>2.87</v>
      </c>
      <c r="E7" s="12">
        <v>81.6</v>
      </c>
      <c r="F7" s="12">
        <v>96.9</v>
      </c>
      <c r="G7" s="11">
        <v>11.52</v>
      </c>
      <c r="H7" s="34">
        <v>25040309</v>
      </c>
    </row>
    <row r="8" ht="16.5" spans="1:8">
      <c r="A8" s="39" t="s">
        <v>2356</v>
      </c>
      <c r="B8" s="9">
        <v>496.6</v>
      </c>
      <c r="C8" s="10">
        <v>111.1</v>
      </c>
      <c r="D8" s="11">
        <v>3.03</v>
      </c>
      <c r="E8" s="12">
        <v>78.9</v>
      </c>
      <c r="F8" s="12">
        <v>95.5</v>
      </c>
      <c r="G8" s="11">
        <v>11.75</v>
      </c>
      <c r="H8" s="34">
        <v>25040326</v>
      </c>
    </row>
    <row r="9" ht="16.5" spans="1:8">
      <c r="A9" s="68" t="s">
        <v>2357</v>
      </c>
      <c r="B9" s="9">
        <v>529.2</v>
      </c>
      <c r="C9" s="10">
        <v>119.1</v>
      </c>
      <c r="D9" s="11">
        <v>3.09</v>
      </c>
      <c r="E9" s="12">
        <v>78.8</v>
      </c>
      <c r="F9" s="12">
        <v>95.6</v>
      </c>
      <c r="G9" s="11">
        <v>10.93</v>
      </c>
      <c r="H9" s="34">
        <v>25040329</v>
      </c>
    </row>
    <row r="10" ht="16.5" spans="1:8">
      <c r="A10" s="39" t="s">
        <v>2358</v>
      </c>
      <c r="B10" s="9">
        <v>442.6</v>
      </c>
      <c r="C10" s="10">
        <v>110.9</v>
      </c>
      <c r="D10" s="11">
        <v>2.96</v>
      </c>
      <c r="E10" s="12">
        <v>72.2</v>
      </c>
      <c r="F10" s="12">
        <v>92.1</v>
      </c>
      <c r="G10" s="11">
        <v>11.29</v>
      </c>
      <c r="H10" s="34">
        <v>25030074</v>
      </c>
    </row>
    <row r="11" ht="16.5" spans="1:8">
      <c r="A11" s="39" t="s">
        <v>2359</v>
      </c>
      <c r="B11" s="9">
        <v>698</v>
      </c>
      <c r="C11" s="10">
        <v>94.9</v>
      </c>
      <c r="D11" s="11">
        <v>2.54</v>
      </c>
      <c r="E11" s="12">
        <v>66.4</v>
      </c>
      <c r="F11" s="12">
        <v>90.2</v>
      </c>
      <c r="G11" s="11">
        <v>11.96</v>
      </c>
      <c r="H11" s="34">
        <v>25030292</v>
      </c>
    </row>
    <row r="12" ht="16.5" spans="1:8">
      <c r="A12" s="39" t="s">
        <v>2360</v>
      </c>
      <c r="B12" s="9">
        <v>478</v>
      </c>
      <c r="C12" s="10">
        <v>111.2</v>
      </c>
      <c r="D12" s="11">
        <v>2.93</v>
      </c>
      <c r="E12" s="12">
        <v>77.6</v>
      </c>
      <c r="F12" s="12">
        <v>95.8</v>
      </c>
      <c r="G12" s="11">
        <v>11.29</v>
      </c>
      <c r="H12" s="34">
        <v>25030365</v>
      </c>
    </row>
    <row r="13" ht="16.5" spans="1:8">
      <c r="A13" s="39" t="s">
        <v>2361</v>
      </c>
      <c r="B13" s="9">
        <v>320.4</v>
      </c>
      <c r="C13" s="10">
        <v>102.3</v>
      </c>
      <c r="D13" s="11">
        <v>2.54</v>
      </c>
      <c r="E13" s="12">
        <v>55.6</v>
      </c>
      <c r="F13" s="12">
        <v>82.4</v>
      </c>
      <c r="G13" s="11">
        <v>11.19</v>
      </c>
      <c r="H13" s="34">
        <v>25020405</v>
      </c>
    </row>
    <row r="14" ht="16.5" spans="1:8">
      <c r="A14" s="23" t="s">
        <v>2362</v>
      </c>
      <c r="B14" s="14">
        <v>597.8</v>
      </c>
      <c r="C14" s="15">
        <v>105.8</v>
      </c>
      <c r="D14" s="16">
        <v>2.99</v>
      </c>
      <c r="E14" s="17">
        <v>76.2</v>
      </c>
      <c r="F14" s="17">
        <v>94.4</v>
      </c>
      <c r="G14" s="16">
        <v>12.01</v>
      </c>
      <c r="H14" s="14">
        <v>25070033</v>
      </c>
    </row>
    <row r="15" ht="16.5" spans="1:8">
      <c r="A15" s="23"/>
      <c r="B15" s="14"/>
      <c r="C15" s="15"/>
      <c r="D15" s="16"/>
      <c r="E15" s="17"/>
      <c r="F15" s="17"/>
      <c r="G15" s="16"/>
      <c r="H15" s="14"/>
    </row>
  </sheetData>
  <conditionalFormatting sqref="A1:A2">
    <cfRule type="duplicateValues" dxfId="0" priority="1"/>
  </conditionalFormatting>
  <dataValidations count="1">
    <dataValidation allowBlank="1" showInputMessage="1" showErrorMessage="1" sqref="C3:C4 B5:C15"/>
  </dataValidations>
  <pageMargins left="0.75" right="0.75" top="1" bottom="1" header="0.5" footer="0.5"/>
  <pageSetup paperSize="9" orientation="portrait"/>
  <headerFooter/>
  <legacy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J1" sqref="J$1:M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16">
        <v>917</v>
      </c>
      <c r="B1" s="2">
        <f>SUM(B3:B30)</f>
        <v>10023.4</v>
      </c>
      <c r="C1" s="3" cm="1">
        <f t="array" ref="C1">SUMPRODUCT(C3:C30*B3:B30)/B1</f>
        <v>175.628978191033</v>
      </c>
      <c r="D1" s="4" cm="1">
        <f t="array" ref="D1">SUMPRODUCT(B3:B30*D3:D30)/B1</f>
        <v>3.90915417922062</v>
      </c>
      <c r="E1" s="3" cm="1">
        <f t="array" ref="E1">SUMPRODUCT(B3:B30*E3:E30)/B1</f>
        <v>79.1378534229902</v>
      </c>
      <c r="F1" s="3" cm="1">
        <f t="array" ref="F1">SUMPRODUCT(B3:B30*F3:F30)/B1</f>
        <v>94.3507452561007</v>
      </c>
      <c r="G1" s="3" cm="1">
        <f t="array" ref="G1">SUMPRODUCT(B3:B30*G3:G30)/B1</f>
        <v>11.7762106670391</v>
      </c>
    </row>
    <row r="2" ht="16.5" spans="1:8">
      <c r="A2" s="6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68" t="s">
        <v>2363</v>
      </c>
      <c r="B3" s="9">
        <v>504.8</v>
      </c>
      <c r="C3" s="10">
        <v>250.6</v>
      </c>
      <c r="D3" s="11">
        <v>4.8</v>
      </c>
      <c r="E3" s="12">
        <v>88.1</v>
      </c>
      <c r="F3" s="12">
        <v>97.3</v>
      </c>
      <c r="G3" s="11">
        <v>11.1</v>
      </c>
      <c r="H3" s="9">
        <v>25060209</v>
      </c>
    </row>
    <row r="4" ht="16.5" spans="1:8">
      <c r="A4" s="39" t="s">
        <v>2364</v>
      </c>
      <c r="B4" s="9">
        <v>199</v>
      </c>
      <c r="C4" s="10">
        <v>257.1</v>
      </c>
      <c r="D4" s="11">
        <v>4.94</v>
      </c>
      <c r="E4" s="12">
        <v>83.6</v>
      </c>
      <c r="F4" s="12">
        <v>95.9</v>
      </c>
      <c r="G4" s="11">
        <v>11.17</v>
      </c>
      <c r="H4" s="9">
        <v>25060245</v>
      </c>
    </row>
    <row r="5" ht="16.5" spans="1:8">
      <c r="A5" s="39" t="s">
        <v>2365</v>
      </c>
      <c r="B5" s="9">
        <v>517.6</v>
      </c>
      <c r="C5" s="10">
        <v>98.8</v>
      </c>
      <c r="D5" s="11">
        <v>2.77</v>
      </c>
      <c r="E5" s="12">
        <v>63.6</v>
      </c>
      <c r="F5" s="12">
        <v>86.3</v>
      </c>
      <c r="G5" s="11">
        <v>11.27</v>
      </c>
      <c r="H5" s="9">
        <v>25020112</v>
      </c>
    </row>
    <row r="6" ht="16.5" spans="1:8">
      <c r="A6" s="39" t="s">
        <v>2366</v>
      </c>
      <c r="B6" s="9">
        <v>505.6</v>
      </c>
      <c r="C6" s="10">
        <v>190.8</v>
      </c>
      <c r="D6" s="11">
        <v>5.11</v>
      </c>
      <c r="E6" s="12">
        <v>69</v>
      </c>
      <c r="F6" s="12">
        <v>90.2</v>
      </c>
      <c r="G6" s="11">
        <v>11.51</v>
      </c>
      <c r="H6" s="9">
        <v>25040027</v>
      </c>
    </row>
    <row r="7" ht="16.5" spans="1:8">
      <c r="A7" s="39" t="s">
        <v>2367</v>
      </c>
      <c r="B7" s="9">
        <v>649.2</v>
      </c>
      <c r="C7" s="10">
        <v>126.9</v>
      </c>
      <c r="D7" s="11">
        <v>3.03</v>
      </c>
      <c r="E7" s="12">
        <v>75.8</v>
      </c>
      <c r="F7" s="12">
        <v>93.5</v>
      </c>
      <c r="G7" s="11">
        <v>11.66</v>
      </c>
      <c r="H7" s="9">
        <v>25040085</v>
      </c>
    </row>
    <row r="8" ht="16.5" spans="1:8">
      <c r="A8" s="39" t="s">
        <v>2368</v>
      </c>
      <c r="B8" s="9">
        <v>204.2</v>
      </c>
      <c r="C8" s="10">
        <v>256.7</v>
      </c>
      <c r="D8" s="11">
        <v>4.82</v>
      </c>
      <c r="E8" s="12">
        <v>85.5</v>
      </c>
      <c r="F8" s="12">
        <v>96.4</v>
      </c>
      <c r="G8" s="11">
        <v>11.06</v>
      </c>
      <c r="H8" s="9">
        <v>25070315</v>
      </c>
    </row>
    <row r="9" ht="16.5" spans="1:8">
      <c r="A9" s="68" t="s">
        <v>884</v>
      </c>
      <c r="B9" s="9">
        <v>338</v>
      </c>
      <c r="C9" s="10">
        <v>257.5</v>
      </c>
      <c r="D9" s="11">
        <v>5.11</v>
      </c>
      <c r="E9" s="12">
        <v>90.6</v>
      </c>
      <c r="F9" s="12">
        <v>98.3</v>
      </c>
      <c r="G9" s="11">
        <v>11.61</v>
      </c>
      <c r="H9" s="9">
        <v>25030392</v>
      </c>
    </row>
    <row r="10" ht="16.5" spans="1:8">
      <c r="A10" s="39" t="s">
        <v>2369</v>
      </c>
      <c r="B10" s="9">
        <v>855</v>
      </c>
      <c r="C10" s="10">
        <v>120.9</v>
      </c>
      <c r="D10" s="11">
        <v>3.24</v>
      </c>
      <c r="E10" s="12">
        <v>78.8</v>
      </c>
      <c r="F10" s="12">
        <v>95.7</v>
      </c>
      <c r="G10" s="11">
        <v>12.2</v>
      </c>
      <c r="H10" s="9">
        <v>25060220</v>
      </c>
    </row>
    <row r="11" ht="16.5" spans="1:8">
      <c r="A11" s="39" t="s">
        <v>2370</v>
      </c>
      <c r="B11" s="9">
        <v>439.6</v>
      </c>
      <c r="C11" s="10">
        <v>249.6</v>
      </c>
      <c r="D11" s="11">
        <v>4.38</v>
      </c>
      <c r="E11" s="12">
        <v>88.6</v>
      </c>
      <c r="F11" s="12">
        <v>97.9</v>
      </c>
      <c r="G11" s="11">
        <v>11.71</v>
      </c>
      <c r="H11" s="9">
        <v>25080066</v>
      </c>
    </row>
    <row r="12" ht="16.5" spans="1:8">
      <c r="A12" s="39" t="s">
        <v>2371</v>
      </c>
      <c r="B12" s="9">
        <v>391.8</v>
      </c>
      <c r="C12" s="10">
        <v>108.1</v>
      </c>
      <c r="D12" s="11">
        <v>2.93</v>
      </c>
      <c r="E12" s="12">
        <v>77.1</v>
      </c>
      <c r="F12" s="12">
        <v>95.3</v>
      </c>
      <c r="G12" s="11">
        <v>12.11</v>
      </c>
      <c r="H12" s="9">
        <v>25080014</v>
      </c>
    </row>
    <row r="13" ht="16.5" spans="1:8">
      <c r="A13" s="39" t="s">
        <v>2372</v>
      </c>
      <c r="B13" s="9">
        <v>504</v>
      </c>
      <c r="C13" s="10">
        <v>191</v>
      </c>
      <c r="D13" s="11">
        <v>5.19</v>
      </c>
      <c r="E13" s="12">
        <v>70.7</v>
      </c>
      <c r="F13" s="12">
        <v>90.5</v>
      </c>
      <c r="G13" s="11">
        <v>11.67</v>
      </c>
      <c r="H13" s="9">
        <v>25030053</v>
      </c>
    </row>
    <row r="14" ht="16.5" spans="1:8">
      <c r="A14" s="39" t="s">
        <v>2373</v>
      </c>
      <c r="B14" s="9">
        <v>295.4</v>
      </c>
      <c r="C14" s="10">
        <v>257.3</v>
      </c>
      <c r="D14" s="11">
        <v>5.41</v>
      </c>
      <c r="E14" s="12">
        <v>86.9</v>
      </c>
      <c r="F14" s="12">
        <v>97</v>
      </c>
      <c r="G14" s="11">
        <v>12.29</v>
      </c>
      <c r="H14" s="9">
        <v>25030014</v>
      </c>
    </row>
    <row r="15" ht="16.5" spans="1:8">
      <c r="A15" s="39" t="s">
        <v>1507</v>
      </c>
      <c r="B15" s="9">
        <v>294.8</v>
      </c>
      <c r="C15" s="10">
        <v>257.8</v>
      </c>
      <c r="D15" s="11">
        <v>5.24</v>
      </c>
      <c r="E15" s="12">
        <v>86.3</v>
      </c>
      <c r="F15" s="12">
        <v>96.4</v>
      </c>
      <c r="G15" s="11">
        <v>11.55</v>
      </c>
      <c r="H15" s="9">
        <v>25030131</v>
      </c>
    </row>
    <row r="16" ht="16.5" spans="1:8">
      <c r="A16" s="39" t="s">
        <v>2374</v>
      </c>
      <c r="B16" s="9">
        <v>860.6</v>
      </c>
      <c r="C16" s="10">
        <v>108.4</v>
      </c>
      <c r="D16" s="11">
        <v>2.9</v>
      </c>
      <c r="E16" s="12">
        <v>74.5</v>
      </c>
      <c r="F16" s="12">
        <v>93</v>
      </c>
      <c r="G16" s="11">
        <v>12.19</v>
      </c>
      <c r="H16" s="9">
        <v>25070060</v>
      </c>
    </row>
    <row r="17" ht="16.5" spans="1:8">
      <c r="A17" s="39" t="s">
        <v>2375</v>
      </c>
      <c r="B17" s="9">
        <v>669.4</v>
      </c>
      <c r="C17" s="10">
        <v>105</v>
      </c>
      <c r="D17" s="11">
        <v>2.83</v>
      </c>
      <c r="E17" s="12">
        <v>73.9</v>
      </c>
      <c r="F17" s="12">
        <v>92.9</v>
      </c>
      <c r="G17" s="11">
        <v>12.51</v>
      </c>
      <c r="H17" s="9">
        <v>25070061</v>
      </c>
    </row>
    <row r="18" ht="16.5" spans="1:8">
      <c r="A18" s="39" t="s">
        <v>2376</v>
      </c>
      <c r="B18" s="9">
        <v>500.8</v>
      </c>
      <c r="C18" s="10">
        <v>225.6</v>
      </c>
      <c r="D18" s="11">
        <v>4.61</v>
      </c>
      <c r="E18" s="12">
        <v>88.6</v>
      </c>
      <c r="F18" s="12">
        <v>97.7</v>
      </c>
      <c r="G18" s="11">
        <v>11.3</v>
      </c>
      <c r="H18" s="9">
        <v>25040220</v>
      </c>
    </row>
    <row r="19" ht="16.5" spans="1:8">
      <c r="A19" s="68" t="s">
        <v>2377</v>
      </c>
      <c r="B19" s="9">
        <v>755.4</v>
      </c>
      <c r="C19" s="10">
        <v>256.6</v>
      </c>
      <c r="D19" s="11">
        <v>4.52</v>
      </c>
      <c r="E19" s="12">
        <v>88.2</v>
      </c>
      <c r="F19" s="12">
        <v>97.6</v>
      </c>
      <c r="G19" s="11">
        <v>12.01</v>
      </c>
      <c r="H19" s="9">
        <v>25070208</v>
      </c>
    </row>
    <row r="20" ht="16.5" spans="1:8">
      <c r="A20" s="68" t="s">
        <v>2378</v>
      </c>
      <c r="B20" s="9">
        <v>465.8</v>
      </c>
      <c r="C20" s="10">
        <v>95.1</v>
      </c>
      <c r="D20" s="11">
        <v>2.61</v>
      </c>
      <c r="E20" s="12">
        <v>63.7</v>
      </c>
      <c r="F20" s="12">
        <v>86.2</v>
      </c>
      <c r="G20" s="11">
        <v>11.15</v>
      </c>
      <c r="H20" s="9">
        <v>25020113</v>
      </c>
    </row>
    <row r="21" ht="16.5" spans="1:8">
      <c r="A21" s="23" t="s">
        <v>2379</v>
      </c>
      <c r="B21" s="14">
        <v>418.6</v>
      </c>
      <c r="C21" s="15">
        <v>98.9</v>
      </c>
      <c r="D21" s="16">
        <v>2.83</v>
      </c>
      <c r="E21" s="17">
        <v>76.3</v>
      </c>
      <c r="F21" s="17">
        <v>95.1</v>
      </c>
      <c r="G21" s="16">
        <v>12.38</v>
      </c>
      <c r="H21" s="14">
        <v>25080029</v>
      </c>
    </row>
    <row r="22" ht="16.5" spans="1:8">
      <c r="A22" s="23" t="s">
        <v>2380</v>
      </c>
      <c r="B22" s="14">
        <v>447.4</v>
      </c>
      <c r="C22" s="15">
        <v>228</v>
      </c>
      <c r="D22" s="16">
        <v>4.69</v>
      </c>
      <c r="E22" s="17">
        <v>86.9</v>
      </c>
      <c r="F22" s="17">
        <v>97.4</v>
      </c>
      <c r="G22" s="16">
        <v>11.58</v>
      </c>
      <c r="H22" s="14">
        <v>25070082</v>
      </c>
    </row>
    <row r="23" ht="16.5" spans="1:8">
      <c r="A23" s="23" t="s">
        <v>2381</v>
      </c>
      <c r="B23" s="14">
        <v>206.4</v>
      </c>
      <c r="C23" s="15">
        <v>249.4</v>
      </c>
      <c r="D23" s="16">
        <v>4.2</v>
      </c>
      <c r="E23" s="17">
        <v>90.5</v>
      </c>
      <c r="F23" s="17">
        <v>98.5</v>
      </c>
      <c r="G23" s="16">
        <v>11.69</v>
      </c>
      <c r="H23" s="14">
        <v>25060259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1 B3:C10 B12:C23"/>
  </dataValidations>
  <pageMargins left="0.75" right="0.75" top="1" bottom="1" header="0.5" footer="0.5"/>
  <pageSetup paperSize="9" orientation="portrait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$1:A$1048576"/>
    </sheetView>
  </sheetViews>
  <sheetFormatPr defaultColWidth="9" defaultRowHeight="13.5" outlineLevelCol="6"/>
  <cols>
    <col min="1" max="1" width="15.625" style="50" customWidth="1"/>
  </cols>
  <sheetData>
    <row r="1" ht="16.5" spans="1:7">
      <c r="A1" s="128">
        <v>918</v>
      </c>
      <c r="B1" s="2">
        <f>SUM(B3:B30)</f>
        <v>10364.2</v>
      </c>
      <c r="C1" s="3" cm="1">
        <f t="array" ref="C1">SUMPRODUCT(C3:C30*B3:B30)/B1</f>
        <v>255.870517743772</v>
      </c>
      <c r="D1" s="4" cm="1">
        <f t="array" ref="D1">SUMPRODUCT(B3:B30*D3:D30)/B1</f>
        <v>4.94601281333822</v>
      </c>
      <c r="E1" s="3" cm="1">
        <f t="array" ref="E1">SUMPRODUCT(B3:B30*E3:E30)/B1</f>
        <v>85.6072499565813</v>
      </c>
      <c r="F1" s="3" cm="1">
        <f t="array" ref="F1">SUMPRODUCT(B3:B30*F3:F30)/B1</f>
        <v>96.0807182416395</v>
      </c>
    </row>
    <row r="2" ht="16.5" spans="1:7">
      <c r="A2" s="129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s="127" customFormat="1" ht="16.5" spans="1:7">
      <c r="A3" s="49" t="s">
        <v>2382</v>
      </c>
      <c r="B3" s="14">
        <v>457</v>
      </c>
      <c r="C3" s="15">
        <v>251.2</v>
      </c>
      <c r="D3" s="16">
        <v>5.81</v>
      </c>
      <c r="E3" s="17">
        <v>78.4</v>
      </c>
      <c r="F3" s="17">
        <v>91.1</v>
      </c>
      <c r="G3" s="14">
        <v>24060334</v>
      </c>
    </row>
    <row r="4" s="127" customFormat="1" ht="16.5" spans="1:7">
      <c r="A4" s="48" t="s">
        <v>2383</v>
      </c>
      <c r="B4" s="14">
        <v>333.2</v>
      </c>
      <c r="C4" s="15">
        <v>243</v>
      </c>
      <c r="D4" s="16">
        <v>5.9</v>
      </c>
      <c r="E4" s="17">
        <v>70</v>
      </c>
      <c r="F4" s="17">
        <v>89.3</v>
      </c>
      <c r="G4" s="14">
        <v>24120143</v>
      </c>
    </row>
    <row r="5" s="127" customFormat="1" ht="16.5" spans="1:7">
      <c r="A5" s="48" t="s">
        <v>956</v>
      </c>
      <c r="B5" s="14">
        <v>517.6</v>
      </c>
      <c r="C5" s="15">
        <v>275.9</v>
      </c>
      <c r="D5" s="16">
        <v>5.16</v>
      </c>
      <c r="E5" s="17">
        <v>91.2</v>
      </c>
      <c r="F5" s="17">
        <v>98.5</v>
      </c>
      <c r="G5" s="14">
        <v>25010066</v>
      </c>
    </row>
    <row r="6" s="127" customFormat="1" ht="16.5" spans="1:7">
      <c r="A6" s="48" t="s">
        <v>959</v>
      </c>
      <c r="B6" s="14">
        <v>508.8</v>
      </c>
      <c r="C6" s="15">
        <v>265.3</v>
      </c>
      <c r="D6" s="16">
        <v>5.05</v>
      </c>
      <c r="E6" s="17">
        <v>91</v>
      </c>
      <c r="F6" s="17">
        <v>98.5</v>
      </c>
      <c r="G6" s="14">
        <v>25010123</v>
      </c>
    </row>
    <row r="7" s="127" customFormat="1" ht="16.5" spans="1:7">
      <c r="A7" s="48" t="s">
        <v>2384</v>
      </c>
      <c r="B7" s="14">
        <v>517.8</v>
      </c>
      <c r="C7" s="15">
        <v>228.5</v>
      </c>
      <c r="D7" s="16">
        <v>5.81</v>
      </c>
      <c r="E7" s="17">
        <v>69.7</v>
      </c>
      <c r="F7" s="17">
        <v>88.4</v>
      </c>
      <c r="G7" s="14">
        <v>25010357</v>
      </c>
    </row>
    <row r="8" s="127" customFormat="1" ht="16.5" spans="1:7">
      <c r="A8" s="48" t="s">
        <v>2385</v>
      </c>
      <c r="B8" s="14">
        <v>434.6</v>
      </c>
      <c r="C8" s="15">
        <v>248.8</v>
      </c>
      <c r="D8" s="16">
        <v>6.56</v>
      </c>
      <c r="E8" s="17">
        <v>79.7</v>
      </c>
      <c r="F8" s="17">
        <v>93.7</v>
      </c>
      <c r="G8" s="14">
        <v>25010414</v>
      </c>
    </row>
    <row r="9" s="127" customFormat="1" ht="16.5" spans="1:7">
      <c r="A9" s="48" t="s">
        <v>2386</v>
      </c>
      <c r="B9" s="14">
        <v>513</v>
      </c>
      <c r="C9" s="15">
        <v>264.7</v>
      </c>
      <c r="D9" s="16">
        <v>4.69</v>
      </c>
      <c r="E9" s="17">
        <v>92</v>
      </c>
      <c r="F9" s="17">
        <v>99</v>
      </c>
      <c r="G9" s="14">
        <v>25020092</v>
      </c>
    </row>
    <row r="10" s="127" customFormat="1" ht="16.5" spans="1:7">
      <c r="A10" s="49" t="s">
        <v>2387</v>
      </c>
      <c r="B10" s="14">
        <v>510</v>
      </c>
      <c r="C10" s="15">
        <v>227.6</v>
      </c>
      <c r="D10" s="16">
        <v>6.32</v>
      </c>
      <c r="E10" s="17">
        <v>71.1</v>
      </c>
      <c r="F10" s="17">
        <v>90.1</v>
      </c>
      <c r="G10" s="14">
        <v>25020307</v>
      </c>
    </row>
    <row r="11" s="127" customFormat="1" ht="16.5" spans="1:7">
      <c r="A11" s="48" t="s">
        <v>528</v>
      </c>
      <c r="B11" s="14">
        <v>516.8</v>
      </c>
      <c r="C11" s="15">
        <v>274.7</v>
      </c>
      <c r="D11" s="16">
        <v>5.35</v>
      </c>
      <c r="E11" s="17">
        <v>89</v>
      </c>
      <c r="F11" s="17">
        <v>97.4</v>
      </c>
      <c r="G11" s="14">
        <v>25020451</v>
      </c>
    </row>
    <row r="12" s="127" customFormat="1" ht="16.5" spans="1:7">
      <c r="A12" s="48" t="s">
        <v>2388</v>
      </c>
      <c r="B12" s="14">
        <v>528</v>
      </c>
      <c r="C12" s="15">
        <v>223.4</v>
      </c>
      <c r="D12" s="16">
        <v>6.13</v>
      </c>
      <c r="E12" s="17">
        <v>77.6</v>
      </c>
      <c r="F12" s="17">
        <v>93</v>
      </c>
      <c r="G12" s="14">
        <v>25030070</v>
      </c>
    </row>
    <row r="13" s="127" customFormat="1" ht="16.5" spans="1:7">
      <c r="A13" s="48" t="s">
        <v>2389</v>
      </c>
      <c r="B13" s="14">
        <v>755</v>
      </c>
      <c r="C13" s="15">
        <v>263.5</v>
      </c>
      <c r="D13" s="16">
        <v>4.52</v>
      </c>
      <c r="E13" s="17">
        <v>91.9</v>
      </c>
      <c r="F13" s="17">
        <v>99</v>
      </c>
      <c r="G13" s="14">
        <v>25030260</v>
      </c>
    </row>
    <row r="14" s="127" customFormat="1" ht="16.5" spans="1:7">
      <c r="A14" s="48" t="s">
        <v>2390</v>
      </c>
      <c r="B14" s="14">
        <v>399.4</v>
      </c>
      <c r="C14" s="15">
        <v>267.5</v>
      </c>
      <c r="D14" s="16">
        <v>4.49</v>
      </c>
      <c r="E14" s="17">
        <v>92.6</v>
      </c>
      <c r="F14" s="17">
        <v>99</v>
      </c>
      <c r="G14" s="14">
        <v>25040124</v>
      </c>
    </row>
    <row r="15" s="127" customFormat="1" ht="16.5" spans="1:7">
      <c r="A15" s="49" t="s">
        <v>2391</v>
      </c>
      <c r="B15" s="14">
        <v>291.4</v>
      </c>
      <c r="C15" s="15">
        <v>272.6</v>
      </c>
      <c r="D15" s="16">
        <v>3.85</v>
      </c>
      <c r="E15" s="17">
        <v>88.6</v>
      </c>
      <c r="F15" s="17">
        <v>97.7</v>
      </c>
      <c r="G15" s="14">
        <v>25040352</v>
      </c>
    </row>
    <row r="16" s="127" customFormat="1" ht="16.5" spans="1:7">
      <c r="A16" s="49" t="s">
        <v>2392</v>
      </c>
      <c r="B16" s="14">
        <v>209.2</v>
      </c>
      <c r="C16" s="15">
        <v>271.9</v>
      </c>
      <c r="D16" s="16">
        <v>3.79</v>
      </c>
      <c r="E16" s="17">
        <v>88.2</v>
      </c>
      <c r="F16" s="17">
        <v>97</v>
      </c>
      <c r="G16" s="14">
        <v>25040409</v>
      </c>
    </row>
    <row r="17" s="127" customFormat="1" ht="16.5" spans="1:7">
      <c r="A17" s="49" t="s">
        <v>2393</v>
      </c>
      <c r="B17" s="14">
        <v>494.2</v>
      </c>
      <c r="C17" s="15">
        <v>253.5</v>
      </c>
      <c r="D17" s="16">
        <v>4.26</v>
      </c>
      <c r="E17" s="17">
        <v>87.2</v>
      </c>
      <c r="F17" s="17">
        <v>96.6</v>
      </c>
      <c r="G17" s="14">
        <v>25040453</v>
      </c>
    </row>
    <row r="18" s="127" customFormat="1" ht="16.5" spans="1:7">
      <c r="A18" s="49" t="s">
        <v>2394</v>
      </c>
      <c r="B18" s="14">
        <v>510.8</v>
      </c>
      <c r="C18" s="15">
        <v>270.5</v>
      </c>
      <c r="D18" s="16">
        <v>4.41</v>
      </c>
      <c r="E18" s="17">
        <v>91.4</v>
      </c>
      <c r="F18" s="17">
        <v>98.3</v>
      </c>
      <c r="G18" s="14">
        <v>25040451</v>
      </c>
    </row>
    <row r="19" s="127" customFormat="1" ht="16.5" spans="1:7">
      <c r="A19" s="49" t="s">
        <v>2395</v>
      </c>
      <c r="B19" s="14">
        <v>869.2</v>
      </c>
      <c r="C19" s="15">
        <v>250.3</v>
      </c>
      <c r="D19" s="16">
        <v>4.77</v>
      </c>
      <c r="E19" s="17">
        <v>87.2</v>
      </c>
      <c r="F19" s="17">
        <v>96.1</v>
      </c>
      <c r="G19" s="14">
        <v>25060012</v>
      </c>
    </row>
    <row r="20" s="127" customFormat="1" ht="16.5" spans="1:7">
      <c r="A20" s="49" t="s">
        <v>2396</v>
      </c>
      <c r="B20" s="14">
        <v>288.4</v>
      </c>
      <c r="C20" s="15">
        <v>231.2</v>
      </c>
      <c r="D20" s="16">
        <v>4.61</v>
      </c>
      <c r="E20" s="17">
        <v>84.3</v>
      </c>
      <c r="F20" s="17">
        <v>96.7</v>
      </c>
      <c r="G20" s="14">
        <v>25060040</v>
      </c>
    </row>
    <row r="21" s="127" customFormat="1" ht="16.5" spans="1:7">
      <c r="A21" s="49" t="s">
        <v>2397</v>
      </c>
      <c r="B21" s="14">
        <v>812</v>
      </c>
      <c r="C21" s="15">
        <v>276.5</v>
      </c>
      <c r="D21" s="16">
        <v>4.26</v>
      </c>
      <c r="E21" s="17">
        <v>89.5</v>
      </c>
      <c r="F21" s="17">
        <v>98.1</v>
      </c>
      <c r="G21" s="14">
        <v>25060036</v>
      </c>
    </row>
    <row r="22" s="127" customFormat="1" ht="16.5" spans="1:7">
      <c r="A22" s="48" t="s">
        <v>2398</v>
      </c>
      <c r="B22" s="14">
        <v>464.4</v>
      </c>
      <c r="C22" s="15">
        <v>250.1</v>
      </c>
      <c r="D22" s="16">
        <v>3.61</v>
      </c>
      <c r="E22" s="17">
        <v>88.6</v>
      </c>
      <c r="F22" s="17">
        <v>98.5</v>
      </c>
      <c r="G22" s="14">
        <v>25070327</v>
      </c>
    </row>
    <row r="23" s="127" customFormat="1" ht="16.5" spans="1:7">
      <c r="A23" s="48" t="s">
        <v>2399</v>
      </c>
      <c r="B23" s="14">
        <v>433.4</v>
      </c>
      <c r="C23" s="15">
        <v>253</v>
      </c>
      <c r="D23" s="16">
        <v>4.2</v>
      </c>
      <c r="E23" s="17">
        <v>90.2</v>
      </c>
      <c r="F23" s="17">
        <v>98.8</v>
      </c>
      <c r="G23" s="14">
        <v>25080004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C15 B3:C14 B16:C23"/>
  </dataValidations>
  <pageMargins left="0.75" right="0.75" top="1" bottom="1" header="0.5" footer="0.5"/>
  <pageSetup paperSize="9" orientation="portrait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J1" sqref="J$1:T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 t="s">
        <v>2400</v>
      </c>
      <c r="B1" s="2">
        <f>SUM(B3:B26)</f>
        <v>9735</v>
      </c>
      <c r="C1" s="51">
        <f>SUMPRODUCT(C3:C26*B3:B26)/B1</f>
        <v>150.058463276836</v>
      </c>
      <c r="D1" s="61">
        <f>SUMPRODUCT(B3:B26*D3:D26)/B1</f>
        <v>3.77530950179764</v>
      </c>
      <c r="E1" s="51">
        <f>SUMPRODUCT(B3:B26*E3:E26)/B1</f>
        <v>77.8111884951207</v>
      </c>
      <c r="F1" s="51">
        <f>SUMPRODUCT(B3:B26*F3:F26)/B1</f>
        <v>93.4705783256292</v>
      </c>
      <c r="G1" s="51" cm="1">
        <f t="array" ref="G1">SUMPRODUCT(B3:B36*G3:G36)/B1</f>
        <v>11.4739687724705</v>
      </c>
    </row>
    <row r="2" ht="16.5" spans="1:8">
      <c r="A2" s="5">
        <v>140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2" t="s">
        <v>5</v>
      </c>
    </row>
    <row r="3" ht="16.5" spans="1:8">
      <c r="A3" s="86" t="s">
        <v>2401</v>
      </c>
      <c r="B3" s="14">
        <v>196.8</v>
      </c>
      <c r="C3" s="15">
        <v>176.4</v>
      </c>
      <c r="D3" s="16">
        <v>5.16</v>
      </c>
      <c r="E3" s="17">
        <v>73</v>
      </c>
      <c r="F3" s="17">
        <v>89.5</v>
      </c>
      <c r="G3" s="16">
        <v>11.96</v>
      </c>
      <c r="H3" s="14">
        <v>24070140</v>
      </c>
    </row>
    <row r="4" ht="16.5" spans="1:8">
      <c r="A4" s="121" t="s">
        <v>2297</v>
      </c>
      <c r="B4" s="14">
        <v>318.2</v>
      </c>
      <c r="C4" s="15">
        <v>134.8</v>
      </c>
      <c r="D4" s="16">
        <v>3.28</v>
      </c>
      <c r="E4" s="17">
        <v>76.5</v>
      </c>
      <c r="F4" s="17">
        <v>93.2</v>
      </c>
      <c r="G4" s="16">
        <v>11.19</v>
      </c>
      <c r="H4" s="14">
        <v>25040407</v>
      </c>
    </row>
    <row r="5" ht="16.5" spans="1:8">
      <c r="A5" s="86" t="s">
        <v>2402</v>
      </c>
      <c r="B5" s="14">
        <v>302.8</v>
      </c>
      <c r="C5" s="15">
        <v>96.4</v>
      </c>
      <c r="D5" s="16">
        <v>2.67</v>
      </c>
      <c r="E5" s="17">
        <v>77.6</v>
      </c>
      <c r="F5" s="17">
        <v>92.3</v>
      </c>
      <c r="G5" s="16">
        <v>11.95</v>
      </c>
      <c r="H5" s="14">
        <v>24030125</v>
      </c>
    </row>
    <row r="6" ht="16.5" spans="1:8">
      <c r="A6" s="86" t="s">
        <v>2403</v>
      </c>
      <c r="B6" s="14">
        <v>460.6</v>
      </c>
      <c r="C6" s="15">
        <v>121.9</v>
      </c>
      <c r="D6" s="16">
        <v>3.21</v>
      </c>
      <c r="E6" s="17">
        <v>63.2</v>
      </c>
      <c r="F6" s="17">
        <v>85</v>
      </c>
      <c r="G6" s="16">
        <v>10.32</v>
      </c>
      <c r="H6" s="14">
        <v>25010225</v>
      </c>
    </row>
    <row r="7" ht="16.5" spans="1:8">
      <c r="A7" s="86" t="s">
        <v>2404</v>
      </c>
      <c r="B7" s="53">
        <v>216.8</v>
      </c>
      <c r="C7" s="17">
        <v>133.1</v>
      </c>
      <c r="D7" s="120">
        <v>3.09</v>
      </c>
      <c r="E7" s="17">
        <v>83.3</v>
      </c>
      <c r="F7" s="17">
        <v>97.3</v>
      </c>
      <c r="G7" s="120">
        <v>12.39</v>
      </c>
      <c r="H7" s="14">
        <v>25030384</v>
      </c>
    </row>
    <row r="8" ht="16.5" spans="1:8">
      <c r="A8" s="86" t="s">
        <v>2405</v>
      </c>
      <c r="B8" s="14">
        <v>560.4</v>
      </c>
      <c r="C8" s="15">
        <v>94.6</v>
      </c>
      <c r="D8" s="16">
        <v>3.15</v>
      </c>
      <c r="E8" s="17">
        <v>79.9</v>
      </c>
      <c r="F8" s="17">
        <v>94.2</v>
      </c>
      <c r="G8" s="16">
        <v>12.72</v>
      </c>
      <c r="H8" s="14">
        <v>24070092</v>
      </c>
    </row>
    <row r="9" ht="16.5" spans="1:8">
      <c r="A9" s="86" t="s">
        <v>2406</v>
      </c>
      <c r="B9" s="14">
        <v>562</v>
      </c>
      <c r="C9" s="15">
        <v>198</v>
      </c>
      <c r="D9" s="16">
        <v>5.73</v>
      </c>
      <c r="E9" s="17">
        <v>76.9</v>
      </c>
      <c r="F9" s="17">
        <v>92.4</v>
      </c>
      <c r="G9" s="16">
        <v>10.87</v>
      </c>
      <c r="H9" s="14">
        <v>24050137</v>
      </c>
    </row>
    <row r="10" ht="16.5" spans="1:8">
      <c r="A10" s="121" t="s">
        <v>2407</v>
      </c>
      <c r="B10" s="14">
        <v>305.4</v>
      </c>
      <c r="C10" s="15">
        <v>215.3</v>
      </c>
      <c r="D10" s="16">
        <v>4.82</v>
      </c>
      <c r="E10" s="17">
        <v>84.4</v>
      </c>
      <c r="F10" s="17">
        <v>96.4</v>
      </c>
      <c r="G10" s="16">
        <v>10.92</v>
      </c>
      <c r="H10" s="14">
        <v>25040023</v>
      </c>
    </row>
    <row r="11" ht="16.5" spans="1:8">
      <c r="A11" s="86" t="s">
        <v>2408</v>
      </c>
      <c r="B11" s="14">
        <v>498</v>
      </c>
      <c r="C11" s="15">
        <v>229.5</v>
      </c>
      <c r="D11" s="16">
        <v>4.23</v>
      </c>
      <c r="E11" s="17">
        <v>90</v>
      </c>
      <c r="F11" s="17">
        <v>98.1</v>
      </c>
      <c r="G11" s="16">
        <v>11.72</v>
      </c>
      <c r="H11" s="14">
        <v>25040182</v>
      </c>
    </row>
    <row r="12" ht="16.5" spans="1:8">
      <c r="A12" s="86" t="s">
        <v>2409</v>
      </c>
      <c r="B12" s="14">
        <v>737.4</v>
      </c>
      <c r="C12" s="15">
        <v>259.9</v>
      </c>
      <c r="D12" s="16">
        <v>4.15</v>
      </c>
      <c r="E12" s="17">
        <v>87.2</v>
      </c>
      <c r="F12" s="17">
        <v>96.6</v>
      </c>
      <c r="G12" s="16">
        <v>9.44</v>
      </c>
      <c r="H12" s="14">
        <v>25070179</v>
      </c>
    </row>
    <row r="13" ht="16.5" spans="1:8">
      <c r="A13" s="121" t="s">
        <v>2410</v>
      </c>
      <c r="B13" s="53">
        <v>440</v>
      </c>
      <c r="C13" s="17">
        <v>191.9</v>
      </c>
      <c r="D13" s="120">
        <v>4.41</v>
      </c>
      <c r="E13" s="17">
        <v>78.1</v>
      </c>
      <c r="F13" s="17">
        <v>92.7</v>
      </c>
      <c r="G13" s="120">
        <v>11.43</v>
      </c>
      <c r="H13" s="14">
        <v>25060132</v>
      </c>
    </row>
    <row r="14" ht="16.5" spans="1:8">
      <c r="A14" s="86" t="s">
        <v>2411</v>
      </c>
      <c r="B14" s="14">
        <v>787.2</v>
      </c>
      <c r="C14" s="15">
        <v>84.5</v>
      </c>
      <c r="D14" s="16">
        <v>2.8</v>
      </c>
      <c r="E14" s="17">
        <v>82</v>
      </c>
      <c r="F14" s="17">
        <v>97.4</v>
      </c>
      <c r="G14" s="16">
        <v>11.66</v>
      </c>
      <c r="H14" s="14">
        <v>25080138</v>
      </c>
    </row>
    <row r="15" ht="16.5" spans="1:8">
      <c r="A15" s="121" t="s">
        <v>803</v>
      </c>
      <c r="B15" s="14">
        <v>519.6</v>
      </c>
      <c r="C15" s="15">
        <v>137.6</v>
      </c>
      <c r="D15" s="16">
        <v>3.58</v>
      </c>
      <c r="E15" s="17">
        <v>80.5</v>
      </c>
      <c r="F15" s="17">
        <v>96</v>
      </c>
      <c r="G15" s="16">
        <v>11.14</v>
      </c>
      <c r="H15" s="14">
        <v>25030360</v>
      </c>
    </row>
    <row r="16" ht="16.5" spans="1:8">
      <c r="A16" s="121" t="s">
        <v>2412</v>
      </c>
      <c r="B16" s="14">
        <v>512.4</v>
      </c>
      <c r="C16" s="15">
        <v>106.9</v>
      </c>
      <c r="D16" s="16">
        <v>2.74</v>
      </c>
      <c r="E16" s="17">
        <v>81.5</v>
      </c>
      <c r="F16" s="17">
        <v>96.8</v>
      </c>
      <c r="G16" s="16">
        <v>12.07</v>
      </c>
      <c r="H16" s="14">
        <v>25040310</v>
      </c>
    </row>
    <row r="17" ht="16.5" spans="1:8">
      <c r="A17" s="86" t="s">
        <v>2413</v>
      </c>
      <c r="B17" s="14">
        <v>546.2</v>
      </c>
      <c r="C17" s="15">
        <v>92.3</v>
      </c>
      <c r="D17" s="16">
        <v>3.12</v>
      </c>
      <c r="E17" s="17">
        <v>76</v>
      </c>
      <c r="F17" s="17">
        <v>93.8</v>
      </c>
      <c r="G17" s="16">
        <v>11.9</v>
      </c>
      <c r="H17" s="14">
        <v>24070248</v>
      </c>
    </row>
    <row r="18" ht="16.5" spans="1:8">
      <c r="A18" s="86" t="s">
        <v>2203</v>
      </c>
      <c r="B18" s="14">
        <v>581.2</v>
      </c>
      <c r="C18" s="15">
        <v>127.3</v>
      </c>
      <c r="D18" s="16">
        <v>4.03</v>
      </c>
      <c r="E18" s="17">
        <v>66.9</v>
      </c>
      <c r="F18" s="17">
        <v>88.2</v>
      </c>
      <c r="G18" s="16">
        <v>11.67</v>
      </c>
      <c r="H18" s="14">
        <v>24050145</v>
      </c>
    </row>
    <row r="19" ht="16.5" spans="1:8">
      <c r="A19" s="86" t="s">
        <v>2414</v>
      </c>
      <c r="B19" s="14">
        <v>502.8</v>
      </c>
      <c r="C19" s="15">
        <v>220.6</v>
      </c>
      <c r="D19" s="16">
        <v>4.63</v>
      </c>
      <c r="E19" s="17">
        <v>91.8</v>
      </c>
      <c r="F19" s="17">
        <v>98.9</v>
      </c>
      <c r="G19" s="16">
        <v>11.58</v>
      </c>
      <c r="H19" s="14">
        <v>25040091</v>
      </c>
    </row>
    <row r="20" ht="16.5" spans="1:8">
      <c r="A20" s="121" t="s">
        <v>2287</v>
      </c>
      <c r="B20" s="14">
        <v>310.6</v>
      </c>
      <c r="C20" s="15">
        <v>226.1</v>
      </c>
      <c r="D20" s="16">
        <v>5.87</v>
      </c>
      <c r="E20" s="17">
        <v>69.3</v>
      </c>
      <c r="F20" s="17">
        <v>88.1</v>
      </c>
      <c r="G20" s="16">
        <v>9.93</v>
      </c>
      <c r="H20" s="14">
        <v>25010358</v>
      </c>
    </row>
    <row r="21" ht="16.5" spans="1:8">
      <c r="A21" s="86" t="s">
        <v>2415</v>
      </c>
      <c r="B21" s="14">
        <v>562.8</v>
      </c>
      <c r="C21" s="15">
        <v>90</v>
      </c>
      <c r="D21" s="16">
        <v>3.09</v>
      </c>
      <c r="E21" s="17">
        <v>57.7</v>
      </c>
      <c r="F21" s="17">
        <v>84.3</v>
      </c>
      <c r="G21" s="16">
        <v>12.99</v>
      </c>
      <c r="H21" s="14">
        <v>24040324</v>
      </c>
    </row>
    <row r="22" ht="16.5" spans="1:8">
      <c r="A22" s="121" t="s">
        <v>2416</v>
      </c>
      <c r="B22" s="14">
        <v>813.8</v>
      </c>
      <c r="C22" s="15">
        <v>122.4</v>
      </c>
      <c r="D22" s="16">
        <v>3.4</v>
      </c>
      <c r="E22" s="17">
        <v>76.4</v>
      </c>
      <c r="F22" s="17">
        <v>93.7</v>
      </c>
      <c r="G22" s="16">
        <v>11.89</v>
      </c>
      <c r="H22" s="14">
        <v>25080074</v>
      </c>
    </row>
    <row r="23" spans="1:8">
      <c r="A23" s="70"/>
    </row>
  </sheetData>
  <conditionalFormatting sqref="A1:A2">
    <cfRule type="duplicateValues" dxfId="0" priority="2"/>
  </conditionalFormatting>
  <dataValidations count="1">
    <dataValidation allowBlank="1" showInputMessage="1" showErrorMessage="1" sqref="C3 B4:C22"/>
  </dataValidations>
  <pageMargins left="0.75" right="0.75" top="1" bottom="1" header="0.5" footer="0.5"/>
  <pageSetup paperSize="9" orientation="portrait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N32" sqref="N32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 t="s">
        <v>2417</v>
      </c>
      <c r="B1" s="2">
        <f>SUM(B3:B26)</f>
        <v>10108.6</v>
      </c>
      <c r="C1" s="51">
        <f>SUMPRODUCT(C3:C26*B3:B26)/B1</f>
        <v>154.102269354807</v>
      </c>
      <c r="D1" s="61">
        <f>SUMPRODUCT(B3:B26*D3:D26)/B1</f>
        <v>3.82815305779237</v>
      </c>
      <c r="E1" s="51">
        <f>SUMPRODUCT(B3:B26*E3:E26)/B1</f>
        <v>77.9826167817502</v>
      </c>
      <c r="F1" s="51">
        <f>SUMPRODUCT(B3:B26*F3:F26)/B1</f>
        <v>93.6138357438221</v>
      </c>
      <c r="G1" s="51" cm="1">
        <f t="array" ref="G1">SUMPRODUCT(B3:B36*G3:G36)/B1</f>
        <v>11.5442363927745</v>
      </c>
    </row>
    <row r="2" ht="16.5" spans="1:8">
      <c r="A2" s="5">
        <v>140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</row>
    <row r="3" ht="16.5" spans="1:8">
      <c r="A3" s="30" t="s">
        <v>2418</v>
      </c>
      <c r="B3" s="24">
        <v>303.4</v>
      </c>
      <c r="C3" s="28">
        <v>86.3</v>
      </c>
      <c r="D3" s="25">
        <v>2.41</v>
      </c>
      <c r="E3" s="29">
        <v>76</v>
      </c>
      <c r="F3" s="29">
        <v>92.8</v>
      </c>
      <c r="G3" s="25">
        <v>10.83</v>
      </c>
      <c r="H3" s="118">
        <v>24020175</v>
      </c>
    </row>
    <row r="4" ht="16.5" spans="1:8">
      <c r="A4" s="23" t="s">
        <v>2419</v>
      </c>
      <c r="B4" s="14">
        <v>401.4</v>
      </c>
      <c r="C4" s="15">
        <v>87.1</v>
      </c>
      <c r="D4" s="16">
        <v>2.51</v>
      </c>
      <c r="E4" s="17">
        <v>76</v>
      </c>
      <c r="F4" s="17">
        <v>92.8</v>
      </c>
      <c r="G4" s="16">
        <v>11.21</v>
      </c>
      <c r="H4" s="85">
        <v>24020170</v>
      </c>
    </row>
    <row r="5" ht="16.5" spans="1:8">
      <c r="A5" s="30" t="s">
        <v>2420</v>
      </c>
      <c r="B5" s="24">
        <v>541.4</v>
      </c>
      <c r="C5" s="28">
        <v>99.6</v>
      </c>
      <c r="D5" s="25">
        <v>3.21</v>
      </c>
      <c r="E5" s="29">
        <v>66.7</v>
      </c>
      <c r="F5" s="29">
        <v>89.1</v>
      </c>
      <c r="G5" s="25">
        <v>11.56</v>
      </c>
      <c r="H5" s="118">
        <v>24050031</v>
      </c>
    </row>
    <row r="6" ht="16.5" spans="1:8">
      <c r="A6" s="30" t="s">
        <v>2421</v>
      </c>
      <c r="B6" s="24">
        <v>374.4</v>
      </c>
      <c r="C6" s="28">
        <v>96.6</v>
      </c>
      <c r="D6" s="25">
        <v>2.99</v>
      </c>
      <c r="E6" s="29">
        <v>62.4</v>
      </c>
      <c r="F6" s="29">
        <v>84.5</v>
      </c>
      <c r="G6" s="25">
        <v>11.46</v>
      </c>
      <c r="H6" s="118">
        <v>24060262</v>
      </c>
    </row>
    <row r="7" ht="16.5" spans="1:8">
      <c r="A7" s="30" t="s">
        <v>2422</v>
      </c>
      <c r="B7" s="24">
        <v>508</v>
      </c>
      <c r="C7" s="28">
        <v>93.2</v>
      </c>
      <c r="D7" s="25">
        <v>3.06</v>
      </c>
      <c r="E7" s="29">
        <v>79.7</v>
      </c>
      <c r="F7" s="29">
        <v>94.1</v>
      </c>
      <c r="G7" s="25">
        <v>12.72</v>
      </c>
      <c r="H7" s="118">
        <v>24070093</v>
      </c>
    </row>
    <row r="8" ht="16.5" spans="1:8">
      <c r="A8" s="18" t="s">
        <v>2423</v>
      </c>
      <c r="B8" s="14">
        <v>572</v>
      </c>
      <c r="C8" s="15">
        <v>208</v>
      </c>
      <c r="D8" s="16">
        <v>5.84</v>
      </c>
      <c r="E8" s="17">
        <v>77</v>
      </c>
      <c r="F8" s="17">
        <v>91.6</v>
      </c>
      <c r="G8" s="16">
        <v>11.56</v>
      </c>
      <c r="H8" s="85">
        <v>24070298</v>
      </c>
    </row>
    <row r="9" ht="16.5" spans="1:8">
      <c r="A9" s="18" t="s">
        <v>2424</v>
      </c>
      <c r="B9" s="14">
        <v>523.4</v>
      </c>
      <c r="C9" s="15">
        <v>159.6</v>
      </c>
      <c r="D9" s="16">
        <v>4.43</v>
      </c>
      <c r="E9" s="17">
        <v>83.4</v>
      </c>
      <c r="F9" s="17">
        <v>94.2</v>
      </c>
      <c r="G9" s="16">
        <v>12.76</v>
      </c>
      <c r="H9" s="85">
        <v>24090136</v>
      </c>
    </row>
    <row r="10" ht="16.5" spans="1:8">
      <c r="A10" s="104" t="s">
        <v>1067</v>
      </c>
      <c r="B10" s="24">
        <v>521.8</v>
      </c>
      <c r="C10" s="28">
        <v>134.9</v>
      </c>
      <c r="D10" s="25">
        <v>3.49</v>
      </c>
      <c r="E10" s="29">
        <v>82.6</v>
      </c>
      <c r="F10" s="29">
        <v>95.5</v>
      </c>
      <c r="G10" s="25">
        <v>12.49</v>
      </c>
      <c r="H10" s="118">
        <v>24110485</v>
      </c>
    </row>
    <row r="11" ht="16.5" spans="1:8">
      <c r="A11" s="30" t="s">
        <v>924</v>
      </c>
      <c r="B11" s="24">
        <v>483.4</v>
      </c>
      <c r="C11" s="28">
        <v>156.7</v>
      </c>
      <c r="D11" s="25">
        <v>3.99</v>
      </c>
      <c r="E11" s="29">
        <v>54.6</v>
      </c>
      <c r="F11" s="29">
        <v>83.2</v>
      </c>
      <c r="G11" s="25">
        <v>11.01</v>
      </c>
      <c r="H11" s="118">
        <v>25010527</v>
      </c>
    </row>
    <row r="12" ht="16.5" spans="1:8">
      <c r="A12" s="30" t="s">
        <v>2425</v>
      </c>
      <c r="B12" s="24">
        <v>500.4</v>
      </c>
      <c r="C12" s="28">
        <v>199.9</v>
      </c>
      <c r="D12" s="25">
        <v>6.09</v>
      </c>
      <c r="E12" s="29">
        <v>60.2</v>
      </c>
      <c r="F12" s="29">
        <v>85.1</v>
      </c>
      <c r="G12" s="25">
        <v>11.57</v>
      </c>
      <c r="H12" s="118">
        <v>25020168</v>
      </c>
    </row>
    <row r="13" ht="16.5" spans="1:8">
      <c r="A13" s="126" t="s">
        <v>2426</v>
      </c>
      <c r="B13" s="14">
        <v>167.2</v>
      </c>
      <c r="C13" s="15">
        <v>93.1</v>
      </c>
      <c r="D13" s="16">
        <v>2.31</v>
      </c>
      <c r="E13" s="17">
        <v>61.1</v>
      </c>
      <c r="F13" s="17">
        <v>86.3</v>
      </c>
      <c r="G13" s="16">
        <v>9.06</v>
      </c>
      <c r="H13" s="85">
        <v>25020316</v>
      </c>
    </row>
    <row r="14" ht="16.5" spans="1:8">
      <c r="A14" s="30" t="s">
        <v>2427</v>
      </c>
      <c r="B14" s="24">
        <v>322</v>
      </c>
      <c r="C14" s="28">
        <v>242.9</v>
      </c>
      <c r="D14" s="25">
        <v>5.63</v>
      </c>
      <c r="E14" s="29">
        <v>79.1</v>
      </c>
      <c r="F14" s="29">
        <v>93.9</v>
      </c>
      <c r="G14" s="25">
        <v>11.1</v>
      </c>
      <c r="H14" s="118">
        <v>25020333</v>
      </c>
    </row>
    <row r="15" ht="16.5" spans="1:8">
      <c r="A15" s="30" t="s">
        <v>2428</v>
      </c>
      <c r="B15" s="24">
        <v>267.6</v>
      </c>
      <c r="C15" s="28">
        <v>199.7</v>
      </c>
      <c r="D15" s="25">
        <v>5.3</v>
      </c>
      <c r="E15" s="29">
        <v>76.3</v>
      </c>
      <c r="F15" s="29">
        <v>93.2</v>
      </c>
      <c r="G15" s="25">
        <v>11.1</v>
      </c>
      <c r="H15" s="118">
        <v>25040081</v>
      </c>
    </row>
    <row r="16" ht="16.5" spans="1:8">
      <c r="A16" s="30" t="s">
        <v>2429</v>
      </c>
      <c r="B16" s="24">
        <v>436.2</v>
      </c>
      <c r="C16" s="28">
        <v>239.9</v>
      </c>
      <c r="D16" s="25">
        <v>4.34</v>
      </c>
      <c r="E16" s="29">
        <v>92.1</v>
      </c>
      <c r="F16" s="29">
        <v>99.5</v>
      </c>
      <c r="G16" s="25">
        <v>11.83</v>
      </c>
      <c r="H16" s="118">
        <v>25040125</v>
      </c>
    </row>
    <row r="17" ht="16.5" spans="1:8">
      <c r="A17" s="30" t="s">
        <v>2430</v>
      </c>
      <c r="B17" s="24">
        <v>444.8</v>
      </c>
      <c r="C17" s="28">
        <v>249.6</v>
      </c>
      <c r="D17" s="25">
        <v>4.49</v>
      </c>
      <c r="E17" s="29">
        <v>90.8</v>
      </c>
      <c r="F17" s="29">
        <v>98.4</v>
      </c>
      <c r="G17" s="25">
        <v>11.48</v>
      </c>
      <c r="H17" s="118">
        <v>25040259</v>
      </c>
    </row>
    <row r="18" ht="16.5" spans="1:8">
      <c r="A18" s="104" t="s">
        <v>2236</v>
      </c>
      <c r="B18" s="14">
        <v>482</v>
      </c>
      <c r="C18" s="15">
        <v>212.6</v>
      </c>
      <c r="D18" s="16">
        <v>4.72</v>
      </c>
      <c r="E18" s="17">
        <v>85</v>
      </c>
      <c r="F18" s="17">
        <v>95.6</v>
      </c>
      <c r="G18" s="16">
        <v>11.59</v>
      </c>
      <c r="H18" s="85">
        <v>25040340</v>
      </c>
    </row>
    <row r="19" ht="16.5" spans="1:8">
      <c r="A19" s="30" t="s">
        <v>2431</v>
      </c>
      <c r="B19" s="24">
        <v>715.6</v>
      </c>
      <c r="C19" s="28">
        <v>96.1</v>
      </c>
      <c r="D19" s="25">
        <v>2.83</v>
      </c>
      <c r="E19" s="29">
        <v>79.4</v>
      </c>
      <c r="F19" s="29">
        <v>96.2</v>
      </c>
      <c r="G19" s="25">
        <v>12.32</v>
      </c>
      <c r="H19" s="118">
        <v>25060285</v>
      </c>
    </row>
    <row r="20" ht="16.5" spans="1:8">
      <c r="A20" s="30" t="s">
        <v>2432</v>
      </c>
      <c r="B20" s="24">
        <v>711.8</v>
      </c>
      <c r="C20" s="28">
        <v>248.2</v>
      </c>
      <c r="D20" s="25">
        <v>4.17</v>
      </c>
      <c r="E20" s="29">
        <v>88.4</v>
      </c>
      <c r="F20" s="29">
        <v>97.8</v>
      </c>
      <c r="G20" s="25">
        <v>11.18</v>
      </c>
      <c r="H20" s="118">
        <v>25080049</v>
      </c>
    </row>
    <row r="21" ht="16.5" spans="1:8">
      <c r="A21" s="30" t="s">
        <v>2433</v>
      </c>
      <c r="B21" s="24">
        <v>250.2</v>
      </c>
      <c r="C21" s="28">
        <v>244</v>
      </c>
      <c r="D21" s="25">
        <v>3.73</v>
      </c>
      <c r="E21" s="29">
        <v>87.8</v>
      </c>
      <c r="F21" s="29">
        <v>97.5</v>
      </c>
      <c r="G21" s="25">
        <v>11.16</v>
      </c>
      <c r="H21" s="118">
        <v>25080095</v>
      </c>
    </row>
    <row r="22" ht="16.5" spans="1:8">
      <c r="A22" s="30" t="s">
        <v>2434</v>
      </c>
      <c r="B22" s="24">
        <v>744.6</v>
      </c>
      <c r="C22" s="28">
        <v>87.4</v>
      </c>
      <c r="D22" s="25">
        <v>2.77</v>
      </c>
      <c r="E22" s="29">
        <v>81</v>
      </c>
      <c r="F22" s="29">
        <v>96.8</v>
      </c>
      <c r="G22" s="25">
        <v>11.06</v>
      </c>
      <c r="H22" s="118">
        <v>25080136</v>
      </c>
    </row>
    <row r="23" ht="16.5" spans="1:8">
      <c r="A23" s="30" t="s">
        <v>2435</v>
      </c>
      <c r="B23" s="24">
        <v>837</v>
      </c>
      <c r="C23" s="28">
        <v>87.9</v>
      </c>
      <c r="D23" s="25">
        <v>2.77</v>
      </c>
      <c r="E23" s="29">
        <v>81</v>
      </c>
      <c r="F23" s="29">
        <v>96.9</v>
      </c>
      <c r="G23" s="25">
        <v>11.07</v>
      </c>
      <c r="H23" s="118">
        <v>25080137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B4 B6:B20 B22:B23 C3:C23"/>
  </dataValidations>
  <pageMargins left="0.75" right="0.75" top="1" bottom="1" header="0.5" footer="0.5"/>
  <pageSetup paperSize="9" orientation="portrait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J1" sqref="J$1:R$1048576"/>
    </sheetView>
  </sheetViews>
  <sheetFormatPr defaultColWidth="9" defaultRowHeight="13.5" outlineLevelCol="7"/>
  <cols>
    <col min="1" max="1" width="15.625" customWidth="1"/>
  </cols>
  <sheetData>
    <row r="1" ht="16.5" spans="1:8">
      <c r="A1" s="1" t="s">
        <v>2436</v>
      </c>
      <c r="B1" s="2">
        <f>SUM(B3:B26)</f>
        <v>10046.8</v>
      </c>
      <c r="C1" s="51">
        <f>SUMPRODUCT(C3:C26*B3:B26)/B1</f>
        <v>173.358796830832</v>
      </c>
      <c r="D1" s="61">
        <f>SUMPRODUCT(B3:B26*D3:D26)/B1</f>
        <v>4.0084488593383</v>
      </c>
      <c r="E1" s="51">
        <f>SUMPRODUCT(B3:B26*E3:E26)/B1</f>
        <v>78.6135824342079</v>
      </c>
      <c r="F1" s="51">
        <f>SUMPRODUCT(B3:B26*F3:F26)/B1</f>
        <v>93.9022474817852</v>
      </c>
      <c r="G1" s="51" cm="1">
        <f t="array" ref="G1">SUMPRODUCT(B3:B36*G3:G36)/B1</f>
        <v>11.5066381335351</v>
      </c>
    </row>
    <row r="2" ht="16.5" spans="1:8">
      <c r="A2" s="5">
        <v>160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2" t="s">
        <v>5</v>
      </c>
    </row>
    <row r="3" ht="16.5" spans="1:8">
      <c r="A3" s="86" t="s">
        <v>2437</v>
      </c>
      <c r="B3" s="53">
        <v>507</v>
      </c>
      <c r="C3" s="17">
        <v>179.1</v>
      </c>
      <c r="D3" s="120">
        <v>5.55</v>
      </c>
      <c r="E3" s="17">
        <v>71.5</v>
      </c>
      <c r="F3" s="17">
        <v>89.5</v>
      </c>
      <c r="G3" s="120">
        <v>11.61</v>
      </c>
      <c r="H3" s="14">
        <v>24050347</v>
      </c>
    </row>
    <row r="4" ht="16.5" spans="1:8">
      <c r="A4" s="86" t="s">
        <v>2438</v>
      </c>
      <c r="B4" s="14">
        <v>494</v>
      </c>
      <c r="C4" s="15">
        <v>213.3</v>
      </c>
      <c r="D4" s="16">
        <v>5.9</v>
      </c>
      <c r="E4" s="17">
        <v>77.7</v>
      </c>
      <c r="F4" s="17">
        <v>92.7</v>
      </c>
      <c r="G4" s="16">
        <v>11.81</v>
      </c>
      <c r="H4" s="14">
        <v>24050320</v>
      </c>
    </row>
    <row r="5" ht="16.5" spans="1:8">
      <c r="A5" s="86" t="s">
        <v>2439</v>
      </c>
      <c r="B5" s="53">
        <v>810.2</v>
      </c>
      <c r="C5" s="17">
        <v>245.6</v>
      </c>
      <c r="D5" s="120">
        <v>3.97</v>
      </c>
      <c r="E5" s="17">
        <v>86.2</v>
      </c>
      <c r="F5" s="17">
        <v>96.4</v>
      </c>
      <c r="G5" s="120">
        <v>10.79</v>
      </c>
      <c r="H5" s="53">
        <v>25060192</v>
      </c>
    </row>
    <row r="6" ht="16.5" spans="1:8">
      <c r="A6" s="121" t="s">
        <v>2440</v>
      </c>
      <c r="B6" s="14">
        <v>781</v>
      </c>
      <c r="C6" s="15">
        <v>106.4</v>
      </c>
      <c r="D6" s="16">
        <v>2.99</v>
      </c>
      <c r="E6" s="17">
        <v>76.3</v>
      </c>
      <c r="F6" s="17">
        <v>94.4</v>
      </c>
      <c r="G6" s="16">
        <v>12.71</v>
      </c>
      <c r="H6" s="14">
        <v>25070034</v>
      </c>
    </row>
    <row r="7" ht="16.5" spans="1:8">
      <c r="A7" s="23" t="s">
        <v>2441</v>
      </c>
      <c r="B7" s="14">
        <v>677.4</v>
      </c>
      <c r="C7" s="15">
        <v>91.1</v>
      </c>
      <c r="D7" s="16">
        <v>2.51</v>
      </c>
      <c r="E7" s="17">
        <v>72.2</v>
      </c>
      <c r="F7" s="17">
        <v>94.7</v>
      </c>
      <c r="G7" s="16">
        <v>10.87</v>
      </c>
      <c r="H7" s="14">
        <v>25030204</v>
      </c>
    </row>
    <row r="8" ht="16.5" spans="1:8">
      <c r="A8" s="23" t="s">
        <v>2442</v>
      </c>
      <c r="B8" s="14">
        <v>527.8</v>
      </c>
      <c r="C8" s="15">
        <v>196.1</v>
      </c>
      <c r="D8" s="16">
        <v>5.68</v>
      </c>
      <c r="E8" s="17">
        <v>70.8</v>
      </c>
      <c r="F8" s="17">
        <v>88.2</v>
      </c>
      <c r="G8" s="16">
        <v>11.14</v>
      </c>
      <c r="H8" s="14">
        <v>24050553</v>
      </c>
    </row>
    <row r="9" ht="16.5" spans="1:8">
      <c r="A9" s="23" t="s">
        <v>2443</v>
      </c>
      <c r="B9" s="14">
        <v>737.2</v>
      </c>
      <c r="C9" s="15">
        <v>232.9</v>
      </c>
      <c r="D9" s="16">
        <v>4.34</v>
      </c>
      <c r="E9" s="17">
        <v>87.4</v>
      </c>
      <c r="F9" s="17">
        <v>96.9</v>
      </c>
      <c r="G9" s="16">
        <v>11.26</v>
      </c>
      <c r="H9" s="14">
        <v>25070301</v>
      </c>
    </row>
    <row r="10" ht="16.5" spans="1:8">
      <c r="A10" s="86" t="s">
        <v>2444</v>
      </c>
      <c r="B10" s="14">
        <v>576.6</v>
      </c>
      <c r="C10" s="15">
        <v>160.1</v>
      </c>
      <c r="D10" s="16">
        <v>4.72</v>
      </c>
      <c r="E10" s="17">
        <v>77</v>
      </c>
      <c r="F10" s="17">
        <v>92.7</v>
      </c>
      <c r="G10" s="16">
        <v>11.9</v>
      </c>
      <c r="H10" s="14">
        <v>24060536</v>
      </c>
    </row>
    <row r="11" ht="16.5" spans="1:8">
      <c r="A11" s="23" t="s">
        <v>2445</v>
      </c>
      <c r="B11" s="14">
        <v>402.4</v>
      </c>
      <c r="C11" s="15">
        <v>90.2</v>
      </c>
      <c r="D11" s="16">
        <v>2.9</v>
      </c>
      <c r="E11" s="17">
        <v>61.7</v>
      </c>
      <c r="F11" s="17">
        <v>86.2</v>
      </c>
      <c r="G11" s="16">
        <v>11.16</v>
      </c>
      <c r="H11" s="14">
        <v>24050094</v>
      </c>
    </row>
    <row r="12" ht="16.5" spans="1:8">
      <c r="A12" s="121" t="s">
        <v>2351</v>
      </c>
      <c r="B12" s="122">
        <v>525.2</v>
      </c>
      <c r="C12" s="123">
        <v>112.3</v>
      </c>
      <c r="D12" s="124">
        <v>2.93</v>
      </c>
      <c r="E12" s="125">
        <v>79.6</v>
      </c>
      <c r="F12" s="125">
        <v>96.1</v>
      </c>
      <c r="G12" s="124">
        <v>11.73</v>
      </c>
      <c r="H12" s="122">
        <v>25040120</v>
      </c>
    </row>
    <row r="13" ht="16.5" spans="1:8">
      <c r="A13" s="23" t="s">
        <v>2446</v>
      </c>
      <c r="B13" s="14">
        <v>487.6</v>
      </c>
      <c r="C13" s="15">
        <v>103.6</v>
      </c>
      <c r="D13" s="16">
        <v>2.74</v>
      </c>
      <c r="E13" s="17">
        <v>60.9</v>
      </c>
      <c r="F13" s="17">
        <v>87.1</v>
      </c>
      <c r="G13" s="16">
        <v>10.09</v>
      </c>
      <c r="H13" s="14">
        <v>25020174</v>
      </c>
    </row>
    <row r="14" ht="16.5" spans="1:8">
      <c r="A14" s="121" t="s">
        <v>2447</v>
      </c>
      <c r="B14" s="14">
        <v>446.6</v>
      </c>
      <c r="C14" s="15">
        <v>245.8</v>
      </c>
      <c r="D14" s="16">
        <v>4.08</v>
      </c>
      <c r="E14" s="17">
        <v>91.3</v>
      </c>
      <c r="F14" s="17">
        <v>98.7</v>
      </c>
      <c r="G14" s="16">
        <v>11.27</v>
      </c>
      <c r="H14" s="14">
        <v>25070080</v>
      </c>
    </row>
    <row r="15" ht="16.5" spans="1:8">
      <c r="A15" s="121" t="s">
        <v>2448</v>
      </c>
      <c r="B15" s="14">
        <v>353.2</v>
      </c>
      <c r="C15" s="15">
        <v>213.7</v>
      </c>
      <c r="D15" s="16">
        <v>5.81</v>
      </c>
      <c r="E15" s="17">
        <v>78.2</v>
      </c>
      <c r="F15" s="17">
        <v>93.4</v>
      </c>
      <c r="G15" s="16">
        <v>11.6</v>
      </c>
      <c r="H15" s="14">
        <v>24040521</v>
      </c>
    </row>
    <row r="16" ht="16.5" spans="1:8">
      <c r="A16" s="23" t="s">
        <v>2449</v>
      </c>
      <c r="B16" s="14">
        <v>651.2</v>
      </c>
      <c r="C16" s="15">
        <v>97.5</v>
      </c>
      <c r="D16" s="16">
        <v>2.61</v>
      </c>
      <c r="E16" s="17">
        <v>82.2</v>
      </c>
      <c r="F16" s="17">
        <v>96.3</v>
      </c>
      <c r="G16" s="16">
        <v>12.89</v>
      </c>
      <c r="H16" s="14">
        <v>25070010</v>
      </c>
    </row>
    <row r="17" ht="16.5" spans="1:8">
      <c r="A17" s="121" t="s">
        <v>2450</v>
      </c>
      <c r="B17" s="14">
        <v>350</v>
      </c>
      <c r="C17" s="15">
        <v>228.4</v>
      </c>
      <c r="D17" s="16">
        <v>5.9</v>
      </c>
      <c r="E17" s="17">
        <v>78.8</v>
      </c>
      <c r="F17" s="17">
        <v>93.4</v>
      </c>
      <c r="G17" s="16">
        <v>11.58</v>
      </c>
      <c r="H17" s="14">
        <v>25030068</v>
      </c>
    </row>
    <row r="18" ht="16.5" spans="1:8">
      <c r="A18" s="23" t="s">
        <v>2451</v>
      </c>
      <c r="B18" s="14">
        <v>401.2</v>
      </c>
      <c r="C18" s="15">
        <v>96.5</v>
      </c>
      <c r="D18" s="16">
        <v>2.44</v>
      </c>
      <c r="E18" s="17">
        <v>64</v>
      </c>
      <c r="F18" s="17">
        <v>87</v>
      </c>
      <c r="G18" s="16">
        <v>11.33</v>
      </c>
      <c r="H18" s="14">
        <v>25010311</v>
      </c>
    </row>
    <row r="19" ht="16.5" spans="1:8">
      <c r="A19" s="23" t="s">
        <v>2452</v>
      </c>
      <c r="B19" s="14">
        <v>830</v>
      </c>
      <c r="C19" s="15">
        <v>247.5</v>
      </c>
      <c r="D19" s="16">
        <v>4.26</v>
      </c>
      <c r="E19" s="17">
        <v>90.6</v>
      </c>
      <c r="F19" s="17">
        <v>98.6</v>
      </c>
      <c r="G19" s="16">
        <v>11.56</v>
      </c>
      <c r="H19" s="14">
        <v>25060257</v>
      </c>
    </row>
    <row r="20" ht="16.5" spans="1:8">
      <c r="A20" s="121" t="s">
        <v>2453</v>
      </c>
      <c r="B20" s="14">
        <v>488.2</v>
      </c>
      <c r="C20" s="15">
        <v>236.8</v>
      </c>
      <c r="D20" s="16">
        <v>4.46</v>
      </c>
      <c r="E20" s="17">
        <v>90</v>
      </c>
      <c r="F20" s="17">
        <v>98.3</v>
      </c>
      <c r="G20" s="16">
        <v>11.31</v>
      </c>
      <c r="H20" s="14">
        <v>25040334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B3:C20"/>
  </dataValidations>
  <pageMargins left="0.75" right="0.75" top="1" bottom="1" header="0.5" footer="0.5"/>
  <pageSetup paperSize="9" orientation="portrait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104</v>
      </c>
      <c r="B1" s="2">
        <f>SUM(B3:B26)</f>
        <v>10098</v>
      </c>
      <c r="C1" s="51">
        <f>SUMPRODUCT(C3:C26*B3:B26)/B1</f>
        <v>218.508976034858</v>
      </c>
      <c r="D1" s="61">
        <f>SUMPRODUCT(B3:B26*D3:D26)/B1</f>
        <v>4.89789027530204</v>
      </c>
      <c r="E1" s="51">
        <f>SUMPRODUCT(B3:B26*E3:E26)/B1</f>
        <v>80.2858367993662</v>
      </c>
      <c r="F1" s="51">
        <f>SUMPRODUCT(B3:B26*F3:F26)/B1</f>
        <v>93.993495741731</v>
      </c>
    </row>
    <row r="2" ht="16.5" spans="1:7">
      <c r="A2" s="5">
        <v>200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</row>
    <row r="3" ht="16.5" spans="1:7">
      <c r="A3" s="39" t="s">
        <v>2454</v>
      </c>
      <c r="B3" s="9">
        <v>273.8</v>
      </c>
      <c r="C3" s="10">
        <v>210.7</v>
      </c>
      <c r="D3" s="11">
        <v>5.79</v>
      </c>
      <c r="E3" s="12">
        <v>75.8</v>
      </c>
      <c r="F3" s="12">
        <v>91.6</v>
      </c>
      <c r="G3" s="34">
        <v>25020106</v>
      </c>
    </row>
    <row r="4" ht="16.5" spans="1:7">
      <c r="A4" s="39" t="s">
        <v>2455</v>
      </c>
      <c r="B4" s="9">
        <v>384.6</v>
      </c>
      <c r="C4" s="10">
        <v>214.3</v>
      </c>
      <c r="D4" s="11">
        <v>5.84</v>
      </c>
      <c r="E4" s="12">
        <v>76.6</v>
      </c>
      <c r="F4" s="12">
        <v>92.2</v>
      </c>
      <c r="G4" s="34">
        <v>25020105</v>
      </c>
    </row>
    <row r="5" ht="16.5" spans="1:7">
      <c r="A5" s="39" t="s">
        <v>2456</v>
      </c>
      <c r="B5" s="9">
        <v>511.6</v>
      </c>
      <c r="C5" s="10">
        <v>228.6</v>
      </c>
      <c r="D5" s="11">
        <v>5.13</v>
      </c>
      <c r="E5" s="12">
        <v>89.4</v>
      </c>
      <c r="F5" s="12">
        <v>98.4</v>
      </c>
      <c r="G5" s="34">
        <v>25010549</v>
      </c>
    </row>
    <row r="6" ht="16.5" spans="1:7">
      <c r="A6" s="39" t="s">
        <v>2457</v>
      </c>
      <c r="B6" s="9">
        <v>268.4</v>
      </c>
      <c r="C6" s="10">
        <v>255.8</v>
      </c>
      <c r="D6" s="11">
        <v>3.65</v>
      </c>
      <c r="E6" s="12">
        <v>87.2</v>
      </c>
      <c r="F6" s="12">
        <v>96.4</v>
      </c>
      <c r="G6" s="34">
        <v>25080124</v>
      </c>
    </row>
    <row r="7" ht="16.5" spans="1:7">
      <c r="A7" s="39" t="s">
        <v>2458</v>
      </c>
      <c r="B7" s="9">
        <v>464.4</v>
      </c>
      <c r="C7" s="10">
        <v>202.3</v>
      </c>
      <c r="D7" s="11">
        <v>6</v>
      </c>
      <c r="E7" s="12">
        <v>74.3</v>
      </c>
      <c r="F7" s="12">
        <v>92.1</v>
      </c>
      <c r="G7" s="34">
        <v>25010417</v>
      </c>
    </row>
    <row r="8" ht="16.5" spans="1:7">
      <c r="A8" s="39" t="s">
        <v>2459</v>
      </c>
      <c r="B8" s="9">
        <v>507</v>
      </c>
      <c r="C8" s="10">
        <v>208.7</v>
      </c>
      <c r="D8" s="11">
        <v>5.66</v>
      </c>
      <c r="E8" s="12">
        <v>70.8</v>
      </c>
      <c r="F8" s="12">
        <v>91.2</v>
      </c>
      <c r="G8" s="34">
        <v>25040024</v>
      </c>
    </row>
    <row r="9" ht="16.5" spans="1:7">
      <c r="A9" s="39" t="s">
        <v>923</v>
      </c>
      <c r="B9" s="9">
        <v>493.4</v>
      </c>
      <c r="C9" s="10">
        <v>235.2</v>
      </c>
      <c r="D9" s="11">
        <v>6.03</v>
      </c>
      <c r="E9" s="12">
        <v>76.1</v>
      </c>
      <c r="F9" s="12">
        <v>92.2</v>
      </c>
      <c r="G9" s="34">
        <v>25020274</v>
      </c>
    </row>
    <row r="10" ht="16.5" spans="1:7">
      <c r="A10" s="54" t="s">
        <v>2460</v>
      </c>
      <c r="B10" s="9">
        <v>728</v>
      </c>
      <c r="C10" s="10">
        <v>170.1</v>
      </c>
      <c r="D10" s="11">
        <v>3.85</v>
      </c>
      <c r="E10" s="12">
        <v>78.1</v>
      </c>
      <c r="F10" s="12">
        <v>92.9</v>
      </c>
      <c r="G10" s="34">
        <v>25060333</v>
      </c>
    </row>
    <row r="11" ht="16.5" spans="1:7">
      <c r="A11" s="39" t="s">
        <v>2461</v>
      </c>
      <c r="B11" s="9">
        <v>592.2</v>
      </c>
      <c r="C11" s="10">
        <v>258.1</v>
      </c>
      <c r="D11" s="11">
        <v>4.11</v>
      </c>
      <c r="E11" s="12">
        <v>90.4</v>
      </c>
      <c r="F11" s="12">
        <v>98.4</v>
      </c>
      <c r="G11" s="34">
        <v>25080064</v>
      </c>
    </row>
    <row r="12" ht="16.5" spans="1:7">
      <c r="A12" s="39" t="s">
        <v>2462</v>
      </c>
      <c r="B12" s="9">
        <v>517.6</v>
      </c>
      <c r="C12" s="10">
        <v>209.7</v>
      </c>
      <c r="D12" s="11">
        <v>5.73</v>
      </c>
      <c r="E12" s="12">
        <v>70.5</v>
      </c>
      <c r="F12" s="12">
        <v>91</v>
      </c>
      <c r="G12" s="34">
        <v>25040025</v>
      </c>
    </row>
    <row r="13" ht="16.5" spans="1:7">
      <c r="A13" s="54" t="s">
        <v>2463</v>
      </c>
      <c r="B13" s="9">
        <v>507.8</v>
      </c>
      <c r="C13" s="10">
        <v>176</v>
      </c>
      <c r="D13" s="11">
        <v>4.97</v>
      </c>
      <c r="E13" s="12">
        <v>75</v>
      </c>
      <c r="F13" s="12">
        <v>89</v>
      </c>
      <c r="G13" s="34">
        <v>24090105</v>
      </c>
    </row>
    <row r="14" ht="16.5" spans="1:7">
      <c r="A14" s="39" t="s">
        <v>2464</v>
      </c>
      <c r="B14" s="9">
        <v>209.8</v>
      </c>
      <c r="C14" s="10">
        <v>228.9</v>
      </c>
      <c r="D14" s="11">
        <v>5.71</v>
      </c>
      <c r="E14" s="12">
        <v>87</v>
      </c>
      <c r="F14" s="12">
        <v>97.9</v>
      </c>
      <c r="G14" s="34">
        <v>25030373</v>
      </c>
    </row>
    <row r="15" ht="16.5" spans="1:7">
      <c r="A15" s="39" t="s">
        <v>2465</v>
      </c>
      <c r="B15" s="9">
        <v>234</v>
      </c>
      <c r="C15" s="10">
        <v>256.5</v>
      </c>
      <c r="D15" s="11">
        <v>3.85</v>
      </c>
      <c r="E15" s="12">
        <v>90.1</v>
      </c>
      <c r="F15" s="12">
        <v>98.6</v>
      </c>
      <c r="G15" s="34">
        <v>25080046</v>
      </c>
    </row>
    <row r="16" ht="16.5" spans="1:7">
      <c r="A16" s="39" t="s">
        <v>2466</v>
      </c>
      <c r="B16" s="9">
        <v>474</v>
      </c>
      <c r="C16" s="10">
        <v>206.7</v>
      </c>
      <c r="D16" s="11">
        <v>5.69</v>
      </c>
      <c r="E16" s="12">
        <v>70.7</v>
      </c>
      <c r="F16" s="12">
        <v>91.2</v>
      </c>
      <c r="G16" s="34">
        <v>25040026</v>
      </c>
    </row>
    <row r="17" ht="16.5" spans="1:7">
      <c r="A17" s="54" t="s">
        <v>2467</v>
      </c>
      <c r="B17" s="9">
        <v>525</v>
      </c>
      <c r="C17" s="10">
        <v>178.3</v>
      </c>
      <c r="D17" s="11">
        <v>4.97</v>
      </c>
      <c r="E17" s="12">
        <v>75.2</v>
      </c>
      <c r="F17" s="12">
        <v>89.3</v>
      </c>
      <c r="G17" s="34">
        <v>24090104</v>
      </c>
    </row>
    <row r="18" ht="16.5" spans="1:7">
      <c r="A18" s="54" t="s">
        <v>2468</v>
      </c>
      <c r="B18" s="9">
        <v>729.2</v>
      </c>
      <c r="C18" s="10">
        <v>202.5</v>
      </c>
      <c r="D18" s="11">
        <v>4.2</v>
      </c>
      <c r="E18" s="12">
        <v>81</v>
      </c>
      <c r="F18" s="12">
        <v>93.9</v>
      </c>
      <c r="G18" s="34">
        <v>25060331</v>
      </c>
    </row>
    <row r="19" ht="16.5" spans="1:7">
      <c r="A19" s="39" t="s">
        <v>2469</v>
      </c>
      <c r="B19" s="9">
        <v>504.4</v>
      </c>
      <c r="C19" s="10">
        <v>254.7</v>
      </c>
      <c r="D19" s="11">
        <v>3.77</v>
      </c>
      <c r="E19" s="12">
        <v>88.9</v>
      </c>
      <c r="F19" s="12">
        <v>97.8</v>
      </c>
      <c r="G19" s="34">
        <v>25080096</v>
      </c>
    </row>
    <row r="20" ht="16.5" spans="1:7">
      <c r="A20" s="39" t="s">
        <v>2470</v>
      </c>
      <c r="B20" s="9">
        <v>498.6</v>
      </c>
      <c r="C20" s="10">
        <v>202.6</v>
      </c>
      <c r="D20" s="11">
        <v>5.95</v>
      </c>
      <c r="E20" s="12">
        <v>77.6</v>
      </c>
      <c r="F20" s="12">
        <v>93.4</v>
      </c>
      <c r="G20" s="34">
        <v>25010584</v>
      </c>
    </row>
    <row r="21" ht="16.5" spans="1:7">
      <c r="A21" s="39" t="s">
        <v>2471</v>
      </c>
      <c r="B21" s="9">
        <v>471.6</v>
      </c>
      <c r="C21" s="10">
        <v>259.7</v>
      </c>
      <c r="D21" s="11">
        <v>3.82</v>
      </c>
      <c r="E21" s="12">
        <v>90.5</v>
      </c>
      <c r="F21" s="12">
        <v>98.7</v>
      </c>
      <c r="G21" s="34">
        <v>25080048</v>
      </c>
    </row>
    <row r="22" ht="16.5" spans="1:7">
      <c r="A22" s="39" t="s">
        <v>2472</v>
      </c>
      <c r="B22" s="9">
        <v>386</v>
      </c>
      <c r="C22" s="10">
        <v>219</v>
      </c>
      <c r="D22" s="11">
        <v>6.05</v>
      </c>
      <c r="E22" s="12">
        <v>75.1</v>
      </c>
      <c r="F22" s="12">
        <v>92</v>
      </c>
      <c r="G22" s="34">
        <v>25010416</v>
      </c>
    </row>
    <row r="23" ht="16.5" spans="1:7">
      <c r="A23" s="39" t="s">
        <v>2473</v>
      </c>
      <c r="B23" s="9">
        <v>816.6</v>
      </c>
      <c r="C23" s="10">
        <v>253</v>
      </c>
      <c r="D23" s="11">
        <v>3.91</v>
      </c>
      <c r="E23" s="12">
        <v>88</v>
      </c>
      <c r="F23" s="12">
        <v>97.4</v>
      </c>
      <c r="G23" s="34">
        <v>25080097</v>
      </c>
    </row>
  </sheetData>
  <conditionalFormatting sqref="A8">
    <cfRule type="duplicateValues" dxfId="0" priority="16"/>
  </conditionalFormatting>
  <conditionalFormatting sqref="A9">
    <cfRule type="duplicateValues" dxfId="0" priority="15"/>
  </conditionalFormatting>
  <conditionalFormatting sqref="A10">
    <cfRule type="duplicateValues" dxfId="0" priority="14"/>
  </conditionalFormatting>
  <conditionalFormatting sqref="A11">
    <cfRule type="duplicateValues" dxfId="0" priority="13"/>
  </conditionalFormatting>
  <conditionalFormatting sqref="A12">
    <cfRule type="duplicateValues" dxfId="0" priority="12"/>
  </conditionalFormatting>
  <conditionalFormatting sqref="A13">
    <cfRule type="duplicateValues" dxfId="0" priority="11"/>
  </conditionalFormatting>
  <conditionalFormatting sqref="A14">
    <cfRule type="duplicateValues" dxfId="0" priority="10"/>
  </conditionalFormatting>
  <conditionalFormatting sqref="A15">
    <cfRule type="duplicateValues" dxfId="0" priority="9"/>
  </conditionalFormatting>
  <conditionalFormatting sqref="A16">
    <cfRule type="duplicateValues" dxfId="0" priority="8"/>
  </conditionalFormatting>
  <conditionalFormatting sqref="A17">
    <cfRule type="duplicateValues" dxfId="0" priority="7"/>
  </conditionalFormatting>
  <conditionalFormatting sqref="A18">
    <cfRule type="duplicateValues" dxfId="0" priority="6"/>
  </conditionalFormatting>
  <conditionalFormatting sqref="A19">
    <cfRule type="duplicateValues" dxfId="0" priority="5"/>
  </conditionalFormatting>
  <conditionalFormatting sqref="A20">
    <cfRule type="duplicateValues" dxfId="0" priority="4"/>
  </conditionalFormatting>
  <conditionalFormatting sqref="A21">
    <cfRule type="duplicateValues" dxfId="0" priority="3"/>
  </conditionalFormatting>
  <conditionalFormatting sqref="A22">
    <cfRule type="duplicateValues" dxfId="0" priority="2"/>
  </conditionalFormatting>
  <conditionalFormatting sqref="A23">
    <cfRule type="duplicateValues" dxfId="0" priority="1"/>
  </conditionalFormatting>
  <conditionalFormatting sqref="A1:A2">
    <cfRule type="duplicateValues" dxfId="0" priority="19"/>
  </conditionalFormatting>
  <conditionalFormatting sqref="A3:A5">
    <cfRule type="duplicateValues" dxfId="0" priority="18"/>
  </conditionalFormatting>
  <conditionalFormatting sqref="A6:A7">
    <cfRule type="duplicateValues" dxfId="0" priority="17"/>
  </conditionalFormatting>
  <dataValidations count="1">
    <dataValidation allowBlank="1" showInputMessage="1" showErrorMessage="1" sqref="B3:C3 B10 B4:B8 B12:B18 B20:B23 C4:C23"/>
  </dataValidations>
  <pageMargins left="0.75" right="0.75" top="1" bottom="1" header="0.5" footer="0.5"/>
  <pageSetup paperSize="9" orientation="portrait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I1" sqref="I$1:V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1005</v>
      </c>
      <c r="B1" s="2">
        <f>SUM(B3:B30)</f>
        <v>10039.6</v>
      </c>
      <c r="C1" s="3" cm="1">
        <f t="array" ref="C1">SUMPRODUCT(C3:C30*B3:B30)/B1</f>
        <v>218.945139248576</v>
      </c>
      <c r="D1" s="4" cm="1">
        <f t="array" ref="D1">SUMPRODUCT(B3:B30*D3:D30)/B1</f>
        <v>4.90756265189848</v>
      </c>
      <c r="E1" s="3" cm="1">
        <f t="array" ref="E1">SUMPRODUCT(B3:B30*E3:E30)/B1</f>
        <v>80.7967110243436</v>
      </c>
      <c r="F1" s="3" cm="1">
        <f t="array" ref="F1">SUMPRODUCT(B3:B30*F3:F30)/B1</f>
        <v>93.5725925335671</v>
      </c>
      <c r="G1" s="3" cm="1">
        <f t="array" ref="G1">SUMPRODUCT(B3:B30*G3:G30)/B1</f>
        <v>11.6690921949082</v>
      </c>
    </row>
    <row r="2" ht="16.5" spans="1:8">
      <c r="A2" s="5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68" t="s">
        <v>2474</v>
      </c>
      <c r="B3" s="9">
        <v>675.8</v>
      </c>
      <c r="C3" s="10">
        <v>184</v>
      </c>
      <c r="D3" s="11">
        <v>4.26</v>
      </c>
      <c r="E3" s="12">
        <v>73.9</v>
      </c>
      <c r="F3" s="12">
        <v>90.5</v>
      </c>
      <c r="G3" s="11">
        <v>10.8</v>
      </c>
      <c r="H3" s="34">
        <v>25100038</v>
      </c>
    </row>
    <row r="4" ht="16.5" spans="1:8">
      <c r="A4" s="68" t="s">
        <v>2475</v>
      </c>
      <c r="B4" s="9">
        <v>345</v>
      </c>
      <c r="C4" s="10">
        <v>191.5</v>
      </c>
      <c r="D4" s="11">
        <v>4.17</v>
      </c>
      <c r="E4" s="12">
        <v>74.1</v>
      </c>
      <c r="F4" s="12">
        <v>90.6</v>
      </c>
      <c r="G4" s="11">
        <v>11.24</v>
      </c>
      <c r="H4" s="34">
        <v>25100039</v>
      </c>
    </row>
    <row r="5" ht="16.5" spans="1:8">
      <c r="A5" s="68" t="s">
        <v>2476</v>
      </c>
      <c r="B5" s="9">
        <v>368</v>
      </c>
      <c r="C5" s="10">
        <v>182.5</v>
      </c>
      <c r="D5" s="11">
        <v>4.17</v>
      </c>
      <c r="E5" s="12">
        <v>73.5</v>
      </c>
      <c r="F5" s="12">
        <v>90.3</v>
      </c>
      <c r="G5" s="11">
        <v>10.53</v>
      </c>
      <c r="H5" s="34">
        <v>25100040</v>
      </c>
    </row>
    <row r="6" ht="16.5" spans="1:8">
      <c r="A6" s="68" t="s">
        <v>2477</v>
      </c>
      <c r="B6" s="9">
        <v>263</v>
      </c>
      <c r="C6" s="10">
        <v>188.1</v>
      </c>
      <c r="D6" s="11">
        <v>5.73</v>
      </c>
      <c r="E6" s="12">
        <v>74.4</v>
      </c>
      <c r="F6" s="12">
        <v>91</v>
      </c>
      <c r="G6" s="11">
        <v>11.24</v>
      </c>
      <c r="H6" s="34">
        <v>24050139</v>
      </c>
    </row>
    <row r="7" ht="16.5" spans="1:8">
      <c r="A7" s="68" t="s">
        <v>2478</v>
      </c>
      <c r="B7" s="9">
        <v>456.8</v>
      </c>
      <c r="C7" s="10">
        <v>251.3</v>
      </c>
      <c r="D7" s="11">
        <v>5.16</v>
      </c>
      <c r="E7" s="12">
        <v>90.4</v>
      </c>
      <c r="F7" s="12">
        <v>98.4</v>
      </c>
      <c r="G7" s="11">
        <v>11.05</v>
      </c>
      <c r="H7" s="9">
        <v>25010323</v>
      </c>
    </row>
    <row r="8" ht="16.5" spans="1:8">
      <c r="A8" s="68" t="s">
        <v>2479</v>
      </c>
      <c r="B8" s="9">
        <v>268.8</v>
      </c>
      <c r="C8" s="10">
        <v>259.4</v>
      </c>
      <c r="D8" s="11">
        <v>4.89</v>
      </c>
      <c r="E8" s="12">
        <v>87.9</v>
      </c>
      <c r="F8" s="12">
        <v>96.9</v>
      </c>
      <c r="G8" s="11">
        <v>11.15</v>
      </c>
      <c r="H8" s="9">
        <v>25010313</v>
      </c>
    </row>
    <row r="9" ht="16.5" spans="1:8">
      <c r="A9" s="68" t="s">
        <v>2480</v>
      </c>
      <c r="B9" s="9">
        <v>325.8</v>
      </c>
      <c r="C9" s="10">
        <v>202.1</v>
      </c>
      <c r="D9" s="11">
        <v>6.03</v>
      </c>
      <c r="E9" s="12">
        <v>74.1</v>
      </c>
      <c r="F9" s="12">
        <v>92</v>
      </c>
      <c r="G9" s="11">
        <v>11.64</v>
      </c>
      <c r="H9" s="9">
        <v>25010418</v>
      </c>
    </row>
    <row r="10" ht="16.5" spans="1:8">
      <c r="A10" s="68" t="s">
        <v>2481</v>
      </c>
      <c r="B10" s="9">
        <v>484.8</v>
      </c>
      <c r="C10" s="10">
        <v>235.3</v>
      </c>
      <c r="D10" s="11">
        <v>4.41</v>
      </c>
      <c r="E10" s="12">
        <v>88.1</v>
      </c>
      <c r="F10" s="12">
        <v>98</v>
      </c>
      <c r="G10" s="11">
        <v>12</v>
      </c>
      <c r="H10" s="9">
        <v>25040204</v>
      </c>
    </row>
    <row r="11" ht="16.5" spans="1:8">
      <c r="A11" s="68" t="s">
        <v>2482</v>
      </c>
      <c r="B11" s="9">
        <v>498.2</v>
      </c>
      <c r="C11" s="10">
        <v>239</v>
      </c>
      <c r="D11" s="11">
        <v>4.34</v>
      </c>
      <c r="E11" s="12">
        <v>89.5</v>
      </c>
      <c r="F11" s="12">
        <v>98.2</v>
      </c>
      <c r="G11" s="11">
        <v>11.82</v>
      </c>
      <c r="H11" s="9">
        <v>25040200</v>
      </c>
    </row>
    <row r="12" ht="16.5" spans="1:8">
      <c r="A12" s="68" t="s">
        <v>2483</v>
      </c>
      <c r="B12" s="9">
        <v>552.6</v>
      </c>
      <c r="C12" s="10">
        <v>224.2</v>
      </c>
      <c r="D12" s="11">
        <v>5.46</v>
      </c>
      <c r="E12" s="12">
        <v>78.2</v>
      </c>
      <c r="F12" s="12">
        <v>92.9</v>
      </c>
      <c r="G12" s="11">
        <v>11.74</v>
      </c>
      <c r="H12" s="9">
        <v>25070029</v>
      </c>
    </row>
    <row r="13" ht="16.5" spans="1:8">
      <c r="A13" s="68" t="s">
        <v>2484</v>
      </c>
      <c r="B13" s="9">
        <v>783.2</v>
      </c>
      <c r="C13" s="10">
        <v>225.1</v>
      </c>
      <c r="D13" s="11">
        <v>5.33</v>
      </c>
      <c r="E13" s="12">
        <v>75.4</v>
      </c>
      <c r="F13" s="12">
        <v>91.3</v>
      </c>
      <c r="G13" s="11">
        <v>11.17</v>
      </c>
      <c r="H13" s="9">
        <v>25060350</v>
      </c>
    </row>
    <row r="14" ht="16.5" spans="1:8">
      <c r="A14" s="68" t="s">
        <v>2485</v>
      </c>
      <c r="B14" s="9">
        <v>731.2</v>
      </c>
      <c r="C14" s="10">
        <v>200.3</v>
      </c>
      <c r="D14" s="11">
        <v>4.2</v>
      </c>
      <c r="E14" s="12">
        <v>81.2</v>
      </c>
      <c r="F14" s="12">
        <v>94.2</v>
      </c>
      <c r="G14" s="11">
        <v>12.19</v>
      </c>
      <c r="H14" s="9">
        <v>25060332</v>
      </c>
    </row>
    <row r="15" ht="16.5" spans="1:8">
      <c r="A15" s="68" t="s">
        <v>2486</v>
      </c>
      <c r="B15" s="9">
        <v>338.2</v>
      </c>
      <c r="C15" s="10">
        <v>238.3</v>
      </c>
      <c r="D15" s="11">
        <v>4.49</v>
      </c>
      <c r="E15" s="12">
        <v>88.9</v>
      </c>
      <c r="F15" s="12">
        <v>98.6</v>
      </c>
      <c r="G15" s="11">
        <v>11.37</v>
      </c>
      <c r="H15" s="9">
        <v>25050097</v>
      </c>
    </row>
    <row r="16" ht="16.5" spans="1:8">
      <c r="A16" s="68" t="s">
        <v>2487</v>
      </c>
      <c r="B16" s="9">
        <v>494.2</v>
      </c>
      <c r="C16" s="10">
        <v>236.5</v>
      </c>
      <c r="D16" s="11">
        <v>5.35</v>
      </c>
      <c r="E16" s="12">
        <v>73.3</v>
      </c>
      <c r="F16" s="12">
        <v>89.6</v>
      </c>
      <c r="G16" s="11">
        <v>10.96</v>
      </c>
      <c r="H16" s="9">
        <v>25100068</v>
      </c>
    </row>
    <row r="17" ht="16.5" spans="1:8">
      <c r="A17" s="68" t="s">
        <v>2488</v>
      </c>
      <c r="B17" s="97">
        <v>483.4</v>
      </c>
      <c r="C17" s="98">
        <v>211.6</v>
      </c>
      <c r="D17" s="99">
        <v>5.79</v>
      </c>
      <c r="E17" s="100">
        <v>79.1</v>
      </c>
      <c r="F17" s="100">
        <v>92.5</v>
      </c>
      <c r="G17" s="99">
        <v>12.15</v>
      </c>
      <c r="H17" s="97">
        <v>24070272</v>
      </c>
    </row>
    <row r="18" ht="16.5" spans="1:8">
      <c r="A18" s="68" t="s">
        <v>2489</v>
      </c>
      <c r="B18" s="97">
        <v>552.4</v>
      </c>
      <c r="C18" s="98">
        <v>193.5</v>
      </c>
      <c r="D18" s="99">
        <v>5.63</v>
      </c>
      <c r="E18" s="100">
        <v>70.7</v>
      </c>
      <c r="F18" s="100">
        <v>88.4</v>
      </c>
      <c r="G18" s="99">
        <v>10.83</v>
      </c>
      <c r="H18" s="97">
        <v>24070300</v>
      </c>
    </row>
    <row r="19" ht="16.5" spans="1:8">
      <c r="A19" s="68" t="s">
        <v>2490</v>
      </c>
      <c r="B19" s="9">
        <v>492.6</v>
      </c>
      <c r="C19" s="10">
        <v>234.6</v>
      </c>
      <c r="D19" s="11">
        <v>4.43</v>
      </c>
      <c r="E19" s="12">
        <v>88.3</v>
      </c>
      <c r="F19" s="12">
        <v>95</v>
      </c>
      <c r="G19" s="11">
        <v>12.76</v>
      </c>
      <c r="H19" s="9">
        <v>24090045</v>
      </c>
    </row>
    <row r="20" ht="16.5" spans="1:8">
      <c r="A20" s="68" t="s">
        <v>2491</v>
      </c>
      <c r="B20" s="9">
        <v>304.2</v>
      </c>
      <c r="C20" s="10">
        <v>239.8</v>
      </c>
      <c r="D20" s="11">
        <v>3.82</v>
      </c>
      <c r="E20" s="12">
        <v>91.4</v>
      </c>
      <c r="F20" s="12">
        <v>98.3</v>
      </c>
      <c r="G20" s="11">
        <v>12.12</v>
      </c>
      <c r="H20" s="9">
        <v>25060140</v>
      </c>
    </row>
    <row r="21" ht="16.5" spans="1:8">
      <c r="A21" s="68" t="s">
        <v>2492</v>
      </c>
      <c r="B21" s="9">
        <v>586.2</v>
      </c>
      <c r="C21" s="10">
        <v>231.5</v>
      </c>
      <c r="D21" s="11">
        <v>4.29</v>
      </c>
      <c r="E21" s="12">
        <v>89.3</v>
      </c>
      <c r="F21" s="12">
        <v>98.4</v>
      </c>
      <c r="G21" s="11">
        <v>12.73</v>
      </c>
      <c r="H21" s="9">
        <v>25050203</v>
      </c>
    </row>
    <row r="22" ht="16.5" spans="1:8">
      <c r="A22" s="68" t="s">
        <v>2493</v>
      </c>
      <c r="B22" s="9">
        <v>511.4</v>
      </c>
      <c r="C22" s="10">
        <v>198.5</v>
      </c>
      <c r="D22" s="11">
        <v>4.75</v>
      </c>
      <c r="E22" s="12">
        <v>75.8</v>
      </c>
      <c r="F22" s="12">
        <v>89</v>
      </c>
      <c r="G22" s="11">
        <v>12.31</v>
      </c>
      <c r="H22" s="9">
        <v>24090015</v>
      </c>
    </row>
    <row r="23" ht="16.5" spans="1:8">
      <c r="A23" s="68" t="s">
        <v>2494</v>
      </c>
      <c r="B23" s="9">
        <v>523.8</v>
      </c>
      <c r="C23" s="10">
        <v>245.4</v>
      </c>
      <c r="D23" s="11">
        <v>6.4</v>
      </c>
      <c r="E23" s="12">
        <v>86</v>
      </c>
      <c r="F23" s="12">
        <v>94.8</v>
      </c>
      <c r="G23" s="11">
        <v>12.61</v>
      </c>
      <c r="H23" s="9">
        <v>24090132</v>
      </c>
    </row>
    <row r="25" spans="1:8">
      <c r="A25" s="119"/>
      <c r="B25" s="119"/>
      <c r="C25" s="119"/>
      <c r="D25" s="119"/>
      <c r="E25" s="119"/>
      <c r="F25" s="119"/>
      <c r="G25" s="119"/>
    </row>
  </sheetData>
  <conditionalFormatting sqref="A1:A2">
    <cfRule type="duplicateValues" dxfId="0" priority="3"/>
  </conditionalFormatting>
  <dataValidations count="1">
    <dataValidation allowBlank="1" showInputMessage="1" showErrorMessage="1" sqref="B3:C23"/>
  </dataValidations>
  <pageMargins left="0.75" right="0.75" top="1" bottom="1" header="0.5" footer="0.5"/>
  <pageSetup paperSize="9" orientation="portrait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E19" sqref="E19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1006</v>
      </c>
      <c r="B1" s="2">
        <f>SUM(B3:B30)</f>
        <v>5177.4</v>
      </c>
      <c r="C1" s="3" cm="1">
        <f t="array" ref="C1">SUMPRODUCT(C3:C30*B3:B30)/B1</f>
        <v>238.61838760768</v>
      </c>
      <c r="D1" s="4" cm="1">
        <f t="array" ref="D1">SUMPRODUCT(B3:B30*D3:D30)/B1</f>
        <v>4.97039092981033</v>
      </c>
      <c r="E1" s="3" cm="1">
        <f t="array" ref="E1">SUMPRODUCT(B3:B30*E3:E30)/B1</f>
        <v>81.9611426584772</v>
      </c>
      <c r="F1" s="3" cm="1">
        <f t="array" ref="F1">SUMPRODUCT(B3:B30*F3:F30)/B1</f>
        <v>93.9393981535134</v>
      </c>
      <c r="G1" s="3" cm="1">
        <f t="array" ref="G1">SUMPRODUCT(B3:B30*G3:G30)/B1</f>
        <v>12.6339537219454</v>
      </c>
    </row>
    <row r="2" ht="16.5" spans="1:8">
      <c r="A2" s="5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69" t="s">
        <v>2495</v>
      </c>
      <c r="B3" s="24">
        <v>592.2</v>
      </c>
      <c r="C3" s="28">
        <v>240.9</v>
      </c>
      <c r="D3" s="25">
        <v>5.76</v>
      </c>
      <c r="E3" s="29">
        <v>84.5</v>
      </c>
      <c r="F3" s="29">
        <v>95.7</v>
      </c>
      <c r="G3" s="25">
        <v>11.71</v>
      </c>
      <c r="H3" s="118">
        <v>25060297</v>
      </c>
    </row>
    <row r="4" ht="16.5" spans="1:8">
      <c r="A4" s="69" t="s">
        <v>2496</v>
      </c>
      <c r="B4" s="24">
        <v>592.8</v>
      </c>
      <c r="C4" s="28">
        <v>250.7</v>
      </c>
      <c r="D4" s="25">
        <v>4.91</v>
      </c>
      <c r="E4" s="29">
        <v>88.5</v>
      </c>
      <c r="F4" s="29">
        <v>97.3</v>
      </c>
      <c r="G4" s="25">
        <v>11.94</v>
      </c>
      <c r="H4" s="24">
        <v>25060304</v>
      </c>
    </row>
    <row r="5" ht="16.5" spans="1:8">
      <c r="A5" s="69" t="s">
        <v>2497</v>
      </c>
      <c r="B5" s="24">
        <v>805.6</v>
      </c>
      <c r="C5" s="28">
        <v>235</v>
      </c>
      <c r="D5" s="25">
        <v>5.05</v>
      </c>
      <c r="E5" s="29">
        <v>81.6</v>
      </c>
      <c r="F5" s="29">
        <v>93.9</v>
      </c>
      <c r="G5" s="25">
        <v>12.37</v>
      </c>
      <c r="H5" s="118">
        <v>25060330</v>
      </c>
    </row>
    <row r="6" ht="16.5" spans="1:8">
      <c r="A6" s="69" t="s">
        <v>2498</v>
      </c>
      <c r="B6" s="24">
        <v>678</v>
      </c>
      <c r="C6" s="28">
        <v>256.4</v>
      </c>
      <c r="D6" s="25">
        <v>4.55</v>
      </c>
      <c r="E6" s="29">
        <v>90</v>
      </c>
      <c r="F6" s="29">
        <v>97.5</v>
      </c>
      <c r="G6" s="25">
        <v>12.3</v>
      </c>
      <c r="H6" s="118">
        <v>25060342</v>
      </c>
    </row>
    <row r="7" ht="16.5" spans="1:8">
      <c r="A7" s="69" t="s">
        <v>2499</v>
      </c>
      <c r="B7" s="24">
        <v>518.2</v>
      </c>
      <c r="C7" s="28">
        <v>262.2</v>
      </c>
      <c r="D7" s="25">
        <v>4.8</v>
      </c>
      <c r="E7" s="29">
        <v>87.7</v>
      </c>
      <c r="F7" s="29">
        <v>96.2</v>
      </c>
      <c r="G7" s="25">
        <v>13.77</v>
      </c>
      <c r="H7" s="24">
        <v>25090016</v>
      </c>
    </row>
    <row r="8" ht="16.5" spans="1:8">
      <c r="A8" s="69" t="s">
        <v>2500</v>
      </c>
      <c r="B8" s="24">
        <v>391</v>
      </c>
      <c r="C8" s="28">
        <v>257.9</v>
      </c>
      <c r="D8" s="25">
        <v>5.02</v>
      </c>
      <c r="E8" s="29">
        <v>84.3</v>
      </c>
      <c r="F8" s="29">
        <v>94.9</v>
      </c>
      <c r="G8" s="25">
        <v>13.66</v>
      </c>
      <c r="H8" s="24">
        <v>25090018</v>
      </c>
    </row>
    <row r="9" ht="16.5" spans="1:8">
      <c r="A9" s="69" t="s">
        <v>2501</v>
      </c>
      <c r="B9" s="24">
        <v>428.4</v>
      </c>
      <c r="C9" s="28">
        <v>250.7</v>
      </c>
      <c r="D9" s="25">
        <v>5.22</v>
      </c>
      <c r="E9" s="29">
        <v>80.8</v>
      </c>
      <c r="F9" s="29">
        <v>93.4</v>
      </c>
      <c r="G9" s="25">
        <v>14.01</v>
      </c>
      <c r="H9" s="24">
        <v>25100002</v>
      </c>
    </row>
    <row r="10" ht="16.5" spans="1:8">
      <c r="A10" s="69" t="s">
        <v>2502</v>
      </c>
      <c r="B10" s="24">
        <v>496.4</v>
      </c>
      <c r="C10" s="28">
        <v>205.5</v>
      </c>
      <c r="D10" s="25">
        <v>4.86</v>
      </c>
      <c r="E10" s="29">
        <v>72.6</v>
      </c>
      <c r="F10" s="29">
        <v>89.7</v>
      </c>
      <c r="G10" s="25">
        <v>14.11</v>
      </c>
      <c r="H10" s="118">
        <v>25100004</v>
      </c>
    </row>
    <row r="11" ht="16.5" spans="1:8">
      <c r="A11" s="69" t="s">
        <v>2503</v>
      </c>
      <c r="B11" s="24">
        <v>219.8</v>
      </c>
      <c r="C11" s="28">
        <v>179.1</v>
      </c>
      <c r="D11" s="25">
        <v>4.15</v>
      </c>
      <c r="E11" s="29">
        <v>76.7</v>
      </c>
      <c r="F11" s="29">
        <v>91.8</v>
      </c>
      <c r="G11" s="25">
        <v>11.98</v>
      </c>
      <c r="H11" s="118">
        <v>25100022</v>
      </c>
    </row>
    <row r="12" ht="16.5" spans="1:8">
      <c r="A12" s="69" t="s">
        <v>2504</v>
      </c>
      <c r="B12" s="24">
        <v>455</v>
      </c>
      <c r="C12" s="28">
        <v>209.9</v>
      </c>
      <c r="D12" s="25">
        <v>4.94</v>
      </c>
      <c r="E12" s="29">
        <v>64.1</v>
      </c>
      <c r="F12" s="29">
        <v>84.8</v>
      </c>
      <c r="G12" s="25">
        <v>10.94</v>
      </c>
      <c r="H12" s="24">
        <v>25100053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2"/>
  </dataValidations>
  <pageMargins left="0.75" right="0.75" top="1" bottom="1" header="0.5" footer="0.5"/>
  <pageSetup paperSize="9" orientation="portrait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I19" sqref="I19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2510001</v>
      </c>
      <c r="B1" s="2">
        <f>SUM(B3:B33)</f>
        <v>14624</v>
      </c>
      <c r="C1" s="3" cm="1">
        <f t="array" ref="C1">SUMPRODUCT(C3:C33*B3:B33)/B1</f>
        <v>274.615868435449</v>
      </c>
      <c r="D1" s="4" cm="1">
        <f t="array" ref="D1">SUMPRODUCT(B3:B33*D3:D33)/B1</f>
        <v>4.94029937089716</v>
      </c>
      <c r="E1" s="3" cm="1">
        <f t="array" ref="E1">SUMPRODUCT(B3:B33*E3:E33)/B1</f>
        <v>85.9837773522976</v>
      </c>
      <c r="F1" s="3" cm="1">
        <f t="array" ref="F1">SUMPRODUCT(B3:B33*F3:F33)/B1</f>
        <v>96.08454595186</v>
      </c>
      <c r="G1" s="3" cm="1">
        <f t="array" ref="G1">SUMPRODUCT(B3:B30*G3:G30)/B1</f>
        <v>6.62037103391685</v>
      </c>
    </row>
    <row r="2" ht="16.5" spans="1:8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2505</v>
      </c>
    </row>
    <row r="3" ht="16.5" spans="1:8">
      <c r="A3" s="41" t="s">
        <v>2506</v>
      </c>
      <c r="B3" s="34">
        <v>496.8</v>
      </c>
      <c r="C3" s="35">
        <v>283.2</v>
      </c>
      <c r="D3" s="36">
        <v>4.82</v>
      </c>
      <c r="E3" s="37">
        <v>88.3</v>
      </c>
      <c r="F3" s="37">
        <v>97.6</v>
      </c>
      <c r="G3" s="35">
        <v>8.5</v>
      </c>
      <c r="H3" s="114">
        <v>24120332</v>
      </c>
    </row>
    <row r="4" ht="16.5" spans="1:8">
      <c r="A4" s="41" t="s">
        <v>2507</v>
      </c>
      <c r="B4" s="34">
        <v>505.2</v>
      </c>
      <c r="C4" s="35">
        <v>284.9</v>
      </c>
      <c r="D4" s="36">
        <v>4.89</v>
      </c>
      <c r="E4" s="37">
        <v>89.4</v>
      </c>
      <c r="F4" s="37">
        <v>98.2</v>
      </c>
      <c r="G4" s="35">
        <v>8.5</v>
      </c>
      <c r="H4" s="114">
        <v>24120335</v>
      </c>
    </row>
    <row r="5" ht="16.5" spans="1:8">
      <c r="A5" s="41" t="s">
        <v>2508</v>
      </c>
      <c r="B5" s="34">
        <v>489.4</v>
      </c>
      <c r="C5" s="35">
        <v>286</v>
      </c>
      <c r="D5" s="36">
        <v>4.89</v>
      </c>
      <c r="E5" s="37">
        <v>88.9</v>
      </c>
      <c r="F5" s="37">
        <v>98</v>
      </c>
      <c r="G5" s="35">
        <v>8.5</v>
      </c>
      <c r="H5" s="114">
        <v>24120333</v>
      </c>
    </row>
    <row r="6" ht="16.5" spans="1:8">
      <c r="A6" s="41" t="s">
        <v>2509</v>
      </c>
      <c r="B6" s="34">
        <v>154.8</v>
      </c>
      <c r="C6" s="35">
        <v>280.3</v>
      </c>
      <c r="D6" s="36">
        <v>4.77</v>
      </c>
      <c r="E6" s="37">
        <v>90.1</v>
      </c>
      <c r="F6" s="37">
        <v>98.4</v>
      </c>
      <c r="G6" s="35">
        <v>8.1</v>
      </c>
      <c r="H6" s="114">
        <v>25040013</v>
      </c>
    </row>
    <row r="7" ht="16.5" spans="1:8">
      <c r="A7" s="41" t="s">
        <v>2510</v>
      </c>
      <c r="B7" s="34">
        <v>505.4</v>
      </c>
      <c r="C7" s="35">
        <v>297.5</v>
      </c>
      <c r="D7" s="36">
        <v>4.69</v>
      </c>
      <c r="E7" s="37">
        <v>92.6</v>
      </c>
      <c r="F7" s="37">
        <v>98.3</v>
      </c>
      <c r="G7" s="35">
        <v>6.9</v>
      </c>
      <c r="H7" s="114">
        <v>25020462</v>
      </c>
    </row>
    <row r="8" ht="16.5" spans="1:8">
      <c r="A8" s="41" t="s">
        <v>2511</v>
      </c>
      <c r="B8" s="34">
        <v>503</v>
      </c>
      <c r="C8" s="35">
        <v>190.1</v>
      </c>
      <c r="D8" s="36">
        <v>5.11</v>
      </c>
      <c r="E8" s="37">
        <v>59.5</v>
      </c>
      <c r="F8" s="37">
        <v>84.3</v>
      </c>
      <c r="G8" s="35">
        <v>4.9</v>
      </c>
      <c r="H8" s="114">
        <v>24120444</v>
      </c>
    </row>
    <row r="9" ht="16.5" spans="1:8">
      <c r="A9" s="41" t="s">
        <v>2512</v>
      </c>
      <c r="B9" s="34">
        <v>284.4</v>
      </c>
      <c r="C9" s="35">
        <v>274.3</v>
      </c>
      <c r="D9" s="36">
        <v>4.49</v>
      </c>
      <c r="E9" s="37">
        <v>86.4</v>
      </c>
      <c r="F9" s="37">
        <v>95.5</v>
      </c>
      <c r="G9" s="35">
        <v>3.2</v>
      </c>
      <c r="H9" s="114">
        <v>24070262</v>
      </c>
    </row>
    <row r="10" ht="16.5" spans="1:8">
      <c r="A10" s="41" t="s">
        <v>941</v>
      </c>
      <c r="B10" s="34">
        <v>506</v>
      </c>
      <c r="C10" s="35">
        <v>288.8</v>
      </c>
      <c r="D10" s="36">
        <v>5.11</v>
      </c>
      <c r="E10" s="37">
        <v>90.3</v>
      </c>
      <c r="F10" s="37">
        <v>97.8</v>
      </c>
      <c r="G10" s="35">
        <v>6.4</v>
      </c>
      <c r="H10" s="114">
        <v>24120017</v>
      </c>
    </row>
    <row r="11" ht="16.5" spans="1:8">
      <c r="A11" s="41" t="s">
        <v>1365</v>
      </c>
      <c r="B11" s="34">
        <v>412.2</v>
      </c>
      <c r="C11" s="35">
        <v>285.3</v>
      </c>
      <c r="D11" s="36">
        <v>5.38</v>
      </c>
      <c r="E11" s="37">
        <v>91.4</v>
      </c>
      <c r="F11" s="37">
        <v>98.5</v>
      </c>
      <c r="G11" s="35">
        <v>3.3</v>
      </c>
      <c r="H11" s="114">
        <v>24120076</v>
      </c>
    </row>
    <row r="12" ht="16.5" spans="1:8">
      <c r="A12" s="41" t="s">
        <v>2513</v>
      </c>
      <c r="B12" s="34">
        <v>417.6</v>
      </c>
      <c r="C12" s="35">
        <v>170.3</v>
      </c>
      <c r="D12" s="36">
        <v>4.57</v>
      </c>
      <c r="E12" s="37">
        <v>42.1</v>
      </c>
      <c r="F12" s="37">
        <v>74.6</v>
      </c>
      <c r="G12" s="35">
        <v>9.4</v>
      </c>
      <c r="H12" s="114">
        <v>25020141</v>
      </c>
    </row>
    <row r="13" ht="16.5" spans="1:8">
      <c r="A13" s="41" t="s">
        <v>2514</v>
      </c>
      <c r="B13" s="34">
        <v>488</v>
      </c>
      <c r="C13" s="35">
        <v>274.6</v>
      </c>
      <c r="D13" s="36">
        <v>4.29</v>
      </c>
      <c r="E13" s="37">
        <v>91</v>
      </c>
      <c r="F13" s="37">
        <v>98.3</v>
      </c>
      <c r="G13" s="35">
        <v>9.4</v>
      </c>
      <c r="H13" s="114">
        <v>25020352</v>
      </c>
    </row>
    <row r="14" ht="16.5" spans="1:8">
      <c r="A14" s="41" t="s">
        <v>2515</v>
      </c>
      <c r="B14" s="34">
        <v>471</v>
      </c>
      <c r="C14" s="35">
        <v>278.1</v>
      </c>
      <c r="D14" s="36">
        <v>4.49</v>
      </c>
      <c r="E14" s="37">
        <v>90.5</v>
      </c>
      <c r="F14" s="37">
        <v>98.4</v>
      </c>
      <c r="G14" s="35">
        <v>9.4</v>
      </c>
      <c r="H14" s="114">
        <v>25020353</v>
      </c>
    </row>
    <row r="15" ht="16.5" spans="1:8">
      <c r="A15" s="41" t="s">
        <v>2516</v>
      </c>
      <c r="B15" s="34">
        <v>500</v>
      </c>
      <c r="C15" s="35">
        <v>201.1</v>
      </c>
      <c r="D15" s="36">
        <v>6.09</v>
      </c>
      <c r="E15" s="37">
        <v>59.9</v>
      </c>
      <c r="F15" s="37">
        <v>85</v>
      </c>
      <c r="G15" s="35">
        <v>8.1</v>
      </c>
      <c r="H15" s="114">
        <v>25020167</v>
      </c>
    </row>
    <row r="16" ht="16.5" spans="1:8">
      <c r="A16" s="41" t="s">
        <v>2517</v>
      </c>
      <c r="B16" s="34">
        <v>473</v>
      </c>
      <c r="C16" s="35">
        <v>279.3</v>
      </c>
      <c r="D16" s="36">
        <v>5.81</v>
      </c>
      <c r="E16" s="37">
        <v>82.7</v>
      </c>
      <c r="F16" s="37">
        <v>95.8</v>
      </c>
      <c r="G16" s="35">
        <v>5.1</v>
      </c>
      <c r="H16" s="114">
        <v>24120120</v>
      </c>
    </row>
    <row r="17" ht="16.5" spans="1:8">
      <c r="A17" s="41" t="s">
        <v>2518</v>
      </c>
      <c r="B17" s="34">
        <v>528</v>
      </c>
      <c r="C17" s="35">
        <v>296.9</v>
      </c>
      <c r="D17" s="36">
        <v>4.52</v>
      </c>
      <c r="E17" s="37">
        <v>91.4</v>
      </c>
      <c r="F17" s="37">
        <v>98.5</v>
      </c>
      <c r="G17" s="35">
        <v>7.9</v>
      </c>
      <c r="H17" s="114">
        <v>25030125</v>
      </c>
    </row>
    <row r="18" ht="16.5" spans="1:8">
      <c r="A18" s="41" t="s">
        <v>2519</v>
      </c>
      <c r="B18" s="34">
        <v>494.4</v>
      </c>
      <c r="C18" s="35">
        <v>274.9</v>
      </c>
      <c r="D18" s="36">
        <v>4.66</v>
      </c>
      <c r="E18" s="37">
        <v>91.9</v>
      </c>
      <c r="F18" s="37">
        <v>98.1</v>
      </c>
      <c r="G18" s="35">
        <v>4.8</v>
      </c>
      <c r="H18" s="114">
        <v>24120170</v>
      </c>
    </row>
    <row r="19" ht="16.5" spans="1:8">
      <c r="A19" s="41" t="s">
        <v>2520</v>
      </c>
      <c r="B19" s="34">
        <v>470.8</v>
      </c>
      <c r="C19" s="35">
        <v>292.3</v>
      </c>
      <c r="D19" s="36">
        <v>4.29</v>
      </c>
      <c r="E19" s="37">
        <v>92.6</v>
      </c>
      <c r="F19" s="37">
        <v>99.1</v>
      </c>
      <c r="G19" s="35">
        <v>9.9</v>
      </c>
      <c r="H19" s="114">
        <v>25040550</v>
      </c>
    </row>
    <row r="20" ht="16.5" spans="1:8">
      <c r="A20" s="41" t="s">
        <v>2521</v>
      </c>
      <c r="B20" s="34">
        <v>501</v>
      </c>
      <c r="C20" s="35">
        <v>281.2</v>
      </c>
      <c r="D20" s="36">
        <v>4.8</v>
      </c>
      <c r="E20" s="37">
        <v>89.2</v>
      </c>
      <c r="F20" s="37">
        <v>98.1</v>
      </c>
      <c r="G20" s="35">
        <v>8.5</v>
      </c>
      <c r="H20" s="114">
        <v>24120334</v>
      </c>
    </row>
    <row r="21" ht="16.5" spans="1:8">
      <c r="A21" s="41" t="s">
        <v>2522</v>
      </c>
      <c r="B21" s="34">
        <v>389.2</v>
      </c>
      <c r="C21" s="35">
        <v>271.9</v>
      </c>
      <c r="D21" s="36">
        <v>5.22</v>
      </c>
      <c r="E21" s="37">
        <v>90.2</v>
      </c>
      <c r="F21" s="37">
        <v>97.5</v>
      </c>
      <c r="G21" s="35">
        <v>4.8</v>
      </c>
      <c r="H21" s="114">
        <v>24120433</v>
      </c>
    </row>
    <row r="22" ht="16.5" spans="1:8">
      <c r="A22" s="41" t="s">
        <v>2523</v>
      </c>
      <c r="B22" s="34">
        <v>558.8</v>
      </c>
      <c r="C22" s="35">
        <v>261.5</v>
      </c>
      <c r="D22" s="36">
        <v>4.46</v>
      </c>
      <c r="E22" s="37">
        <v>88.5</v>
      </c>
      <c r="F22" s="37">
        <v>96.8</v>
      </c>
      <c r="G22" s="35">
        <v>3.2</v>
      </c>
      <c r="H22" s="114">
        <v>24070264</v>
      </c>
    </row>
    <row r="23" ht="16.5" spans="1:8">
      <c r="A23" s="38" t="s">
        <v>2524</v>
      </c>
      <c r="B23" s="34">
        <v>461.6</v>
      </c>
      <c r="C23" s="35">
        <v>283</v>
      </c>
      <c r="D23" s="36">
        <v>5.57</v>
      </c>
      <c r="E23" s="37">
        <v>86.5</v>
      </c>
      <c r="F23" s="37">
        <v>96.8</v>
      </c>
      <c r="G23" s="35">
        <v>7.5</v>
      </c>
      <c r="H23" s="34">
        <v>24120510</v>
      </c>
    </row>
    <row r="24" ht="16.5" spans="1:8">
      <c r="A24" s="38" t="s">
        <v>2525</v>
      </c>
      <c r="B24" s="34">
        <v>472.6</v>
      </c>
      <c r="C24" s="35">
        <v>288.8</v>
      </c>
      <c r="D24" s="36">
        <v>4.89</v>
      </c>
      <c r="E24" s="37">
        <v>89.7</v>
      </c>
      <c r="F24" s="37">
        <v>97.2</v>
      </c>
      <c r="G24" s="35">
        <v>7.1</v>
      </c>
      <c r="H24" s="34">
        <v>25010287</v>
      </c>
    </row>
    <row r="25" ht="16.5" spans="1:8">
      <c r="A25" s="39" t="s">
        <v>2526</v>
      </c>
      <c r="B25" s="9">
        <v>559.6</v>
      </c>
      <c r="C25" s="10">
        <v>285.5</v>
      </c>
      <c r="D25" s="11">
        <v>5.24</v>
      </c>
      <c r="E25" s="12">
        <v>92.5</v>
      </c>
      <c r="F25" s="12">
        <v>99</v>
      </c>
      <c r="G25" s="10">
        <v>6.6</v>
      </c>
      <c r="H25" s="9">
        <v>25010406</v>
      </c>
    </row>
    <row r="26" ht="16.5" spans="1:8">
      <c r="A26" s="23" t="s">
        <v>2527</v>
      </c>
      <c r="B26" s="14">
        <v>345</v>
      </c>
      <c r="C26" s="15">
        <v>283</v>
      </c>
      <c r="D26" s="16">
        <v>4.97</v>
      </c>
      <c r="E26" s="17">
        <v>87.3</v>
      </c>
      <c r="F26" s="17">
        <v>96.7</v>
      </c>
      <c r="G26" s="16">
        <v>9.85</v>
      </c>
      <c r="H26" s="14">
        <v>25030294</v>
      </c>
    </row>
    <row r="27" ht="16.5" spans="1:8">
      <c r="A27" s="23" t="s">
        <v>2528</v>
      </c>
      <c r="B27" s="14">
        <v>519</v>
      </c>
      <c r="C27" s="15">
        <v>285</v>
      </c>
      <c r="D27" s="16">
        <v>4.97</v>
      </c>
      <c r="E27" s="17">
        <v>87.8</v>
      </c>
      <c r="F27" s="17">
        <v>96.8</v>
      </c>
      <c r="G27" s="16">
        <v>9.96</v>
      </c>
      <c r="H27" s="14">
        <v>25030295</v>
      </c>
    </row>
    <row r="28" ht="16.5" spans="1:8">
      <c r="A28" s="23" t="s">
        <v>2529</v>
      </c>
      <c r="B28" s="14">
        <v>521.6</v>
      </c>
      <c r="C28" s="15">
        <v>282.8</v>
      </c>
      <c r="D28" s="16">
        <v>4.91</v>
      </c>
      <c r="E28" s="17">
        <v>91.8</v>
      </c>
      <c r="F28" s="17">
        <v>98.1</v>
      </c>
      <c r="G28" s="16">
        <v>10.61</v>
      </c>
      <c r="H28" s="14">
        <v>25020375</v>
      </c>
    </row>
    <row r="29" ht="16.5" spans="1:8">
      <c r="A29" s="18" t="s">
        <v>2530</v>
      </c>
      <c r="B29" s="14">
        <v>579.8</v>
      </c>
      <c r="C29" s="15">
        <v>288.2</v>
      </c>
      <c r="D29" s="16">
        <v>5.27</v>
      </c>
      <c r="E29" s="17">
        <v>80.2</v>
      </c>
      <c r="F29" s="17">
        <v>93.3</v>
      </c>
      <c r="G29" s="16">
        <v>8.9</v>
      </c>
      <c r="H29" s="14">
        <v>25100032</v>
      </c>
    </row>
    <row r="30" ht="16.5" spans="1:8">
      <c r="A30" s="39" t="s">
        <v>2531</v>
      </c>
      <c r="B30" s="9">
        <v>474.2</v>
      </c>
      <c r="C30" s="10">
        <v>288.6</v>
      </c>
      <c r="D30" s="11">
        <v>4.89</v>
      </c>
      <c r="E30" s="12">
        <v>90.4</v>
      </c>
      <c r="F30" s="12">
        <v>98.9</v>
      </c>
      <c r="G30" s="10">
        <v>6.6</v>
      </c>
      <c r="H30" s="9">
        <v>25010399</v>
      </c>
    </row>
    <row r="31" ht="16.5" spans="1:8">
      <c r="A31" s="39" t="s">
        <v>2532</v>
      </c>
      <c r="B31" s="9">
        <v>492</v>
      </c>
      <c r="C31" s="10">
        <v>291.3</v>
      </c>
      <c r="D31" s="11">
        <v>5</v>
      </c>
      <c r="E31" s="12">
        <v>89.9</v>
      </c>
      <c r="F31" s="12">
        <v>98.2</v>
      </c>
      <c r="G31" s="10">
        <v>8.1</v>
      </c>
      <c r="H31" s="9">
        <v>25040014</v>
      </c>
    </row>
    <row r="32" ht="16.5" spans="1:8">
      <c r="A32" s="39" t="s">
        <v>970</v>
      </c>
      <c r="B32" s="9">
        <v>275</v>
      </c>
      <c r="C32" s="10">
        <v>289.6</v>
      </c>
      <c r="D32" s="11">
        <v>4.91</v>
      </c>
      <c r="E32" s="12">
        <v>91.5</v>
      </c>
      <c r="F32" s="12">
        <v>98</v>
      </c>
      <c r="G32" s="10">
        <v>9.2</v>
      </c>
      <c r="H32" s="9">
        <v>25020374</v>
      </c>
    </row>
    <row r="33" ht="16.5" spans="1:8">
      <c r="A33" s="39" t="s">
        <v>2533</v>
      </c>
      <c r="B33" s="9">
        <v>774.6</v>
      </c>
      <c r="C33" s="10">
        <v>286</v>
      </c>
      <c r="D33" s="11">
        <v>4.94</v>
      </c>
      <c r="E33" s="12">
        <v>89.9</v>
      </c>
      <c r="F33" s="12">
        <v>97.9</v>
      </c>
      <c r="G33" s="10">
        <v>6.6</v>
      </c>
      <c r="H33" s="9">
        <v>25030277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3"/>
  </dataValidations>
  <pageMargins left="0.75" right="0.75" top="1" bottom="1" header="0.5" footer="0.5"/>
  <pageSetup paperSize="9" orientation="portrait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L22" sqref="L22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2510002</v>
      </c>
      <c r="B1" s="2">
        <f>SUM(B3:B30)</f>
        <v>10069.2</v>
      </c>
      <c r="C1" s="3" cm="1">
        <f t="array" ref="C1">SUMPRODUCT(C3:C30*B3:B30)/B1</f>
        <v>270.778306121638</v>
      </c>
      <c r="D1" s="4" cm="1">
        <f t="array" ref="D1">SUMPRODUCT(B3:B30*D3:D30)/B1</f>
        <v>4.89625670361101</v>
      </c>
      <c r="E1" s="3" cm="1">
        <f t="array" ref="E1">SUMPRODUCT(B3:B30*E3:E30)/B1</f>
        <v>87.5175147976006</v>
      </c>
      <c r="F1" s="3" cm="1">
        <f t="array" ref="F1">SUMPRODUCT(B3:B30*F3:F30)/B1</f>
        <v>96.6340066738172</v>
      </c>
      <c r="G1" s="3" cm="1">
        <f t="array" ref="G1">SUMPRODUCT(B3:B30*G3:G30)/B1</f>
        <v>7.29324077384499</v>
      </c>
    </row>
    <row r="2" ht="16.5" spans="1:8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2505</v>
      </c>
    </row>
    <row r="3" ht="16.5" spans="1:8">
      <c r="A3" s="68" t="s">
        <v>2534</v>
      </c>
      <c r="B3" s="56">
        <v>480.4</v>
      </c>
      <c r="C3" s="12">
        <v>277.7</v>
      </c>
      <c r="D3" s="57">
        <v>4.8</v>
      </c>
      <c r="E3" s="12">
        <v>92</v>
      </c>
      <c r="F3" s="12">
        <v>98.3</v>
      </c>
      <c r="G3" s="12">
        <v>4.8</v>
      </c>
      <c r="H3" s="56">
        <v>24120169</v>
      </c>
    </row>
    <row r="4" ht="16.5" spans="1:8">
      <c r="A4" s="68" t="s">
        <v>2535</v>
      </c>
      <c r="B4" s="56">
        <v>503</v>
      </c>
      <c r="C4" s="12">
        <v>276.2</v>
      </c>
      <c r="D4" s="57">
        <v>4.91</v>
      </c>
      <c r="E4" s="12">
        <v>88.9</v>
      </c>
      <c r="F4" s="12">
        <v>97.5</v>
      </c>
      <c r="G4" s="12">
        <v>4.3</v>
      </c>
      <c r="H4" s="56">
        <v>24120187</v>
      </c>
    </row>
    <row r="5" ht="16.5" spans="1:8">
      <c r="A5" s="68" t="s">
        <v>2536</v>
      </c>
      <c r="B5" s="56">
        <v>449.6</v>
      </c>
      <c r="C5" s="12">
        <v>273.4</v>
      </c>
      <c r="D5" s="57">
        <v>4.72</v>
      </c>
      <c r="E5" s="12">
        <v>89.7</v>
      </c>
      <c r="F5" s="12">
        <v>97</v>
      </c>
      <c r="G5" s="12">
        <v>8.4</v>
      </c>
      <c r="H5" s="56">
        <v>24120209</v>
      </c>
    </row>
    <row r="6" ht="16.5" spans="1:8">
      <c r="A6" s="68" t="s">
        <v>2537</v>
      </c>
      <c r="B6" s="56">
        <v>475</v>
      </c>
      <c r="C6" s="12">
        <v>274.8</v>
      </c>
      <c r="D6" s="57">
        <v>5.11</v>
      </c>
      <c r="E6" s="12">
        <v>89.4</v>
      </c>
      <c r="F6" s="12">
        <v>98.4</v>
      </c>
      <c r="G6" s="12">
        <v>6.4</v>
      </c>
      <c r="H6" s="56">
        <v>24120252</v>
      </c>
    </row>
    <row r="7" ht="16.5" spans="1:8">
      <c r="A7" s="68" t="s">
        <v>2538</v>
      </c>
      <c r="B7" s="56">
        <v>210.4</v>
      </c>
      <c r="C7" s="12">
        <v>231.1</v>
      </c>
      <c r="D7" s="57">
        <v>4.08</v>
      </c>
      <c r="E7" s="12">
        <v>89.7</v>
      </c>
      <c r="F7" s="12">
        <v>96.1</v>
      </c>
      <c r="G7" s="12">
        <v>9.6</v>
      </c>
      <c r="H7" s="114">
        <v>24090002</v>
      </c>
    </row>
    <row r="8" ht="16.5" spans="1:8">
      <c r="A8" s="68" t="s">
        <v>2539</v>
      </c>
      <c r="B8" s="56">
        <v>511.6</v>
      </c>
      <c r="C8" s="12">
        <v>196.7</v>
      </c>
      <c r="D8" s="57">
        <v>3.53</v>
      </c>
      <c r="E8" s="12">
        <v>88.5</v>
      </c>
      <c r="F8" s="12">
        <v>95.3</v>
      </c>
      <c r="G8" s="12">
        <v>9.6</v>
      </c>
      <c r="H8" s="114">
        <v>24090006</v>
      </c>
    </row>
    <row r="9" ht="16.5" spans="1:8">
      <c r="A9" s="68" t="s">
        <v>2540</v>
      </c>
      <c r="B9" s="56">
        <v>485.8</v>
      </c>
      <c r="C9" s="12">
        <v>284</v>
      </c>
      <c r="D9" s="57">
        <v>5.16</v>
      </c>
      <c r="E9" s="12">
        <v>88.6</v>
      </c>
      <c r="F9" s="12">
        <v>97.6</v>
      </c>
      <c r="G9" s="12">
        <v>6.4</v>
      </c>
      <c r="H9" s="56">
        <v>24120251</v>
      </c>
    </row>
    <row r="10" ht="16.5" spans="1:8">
      <c r="A10" s="68" t="s">
        <v>2541</v>
      </c>
      <c r="B10" s="56">
        <v>480.2</v>
      </c>
      <c r="C10" s="12">
        <v>288.6</v>
      </c>
      <c r="D10" s="57">
        <v>5.11</v>
      </c>
      <c r="E10" s="12">
        <v>87.9</v>
      </c>
      <c r="F10" s="12">
        <v>97.1</v>
      </c>
      <c r="G10" s="12">
        <v>6.4</v>
      </c>
      <c r="H10" s="56">
        <v>24120248</v>
      </c>
    </row>
    <row r="11" ht="16.5" spans="1:8">
      <c r="A11" s="68" t="s">
        <v>943</v>
      </c>
      <c r="B11" s="56">
        <v>471.4</v>
      </c>
      <c r="C11" s="12">
        <v>281.9</v>
      </c>
      <c r="D11" s="57">
        <v>4.97</v>
      </c>
      <c r="E11" s="12">
        <v>91.6</v>
      </c>
      <c r="F11" s="12">
        <v>98.6</v>
      </c>
      <c r="G11" s="12">
        <v>5.8</v>
      </c>
      <c r="H11" s="56">
        <v>24120038</v>
      </c>
    </row>
    <row r="12" ht="16.5" spans="1:8">
      <c r="A12" s="68" t="s">
        <v>2542</v>
      </c>
      <c r="B12" s="56">
        <v>287.8</v>
      </c>
      <c r="C12" s="12">
        <v>287.9</v>
      </c>
      <c r="D12" s="57">
        <v>5.79</v>
      </c>
      <c r="E12" s="12">
        <v>85.9</v>
      </c>
      <c r="F12" s="12">
        <v>97.5</v>
      </c>
      <c r="G12" s="12">
        <v>4.3</v>
      </c>
      <c r="H12" s="56">
        <v>24120119</v>
      </c>
    </row>
    <row r="13" ht="16.5" spans="1:8">
      <c r="A13" s="68" t="s">
        <v>2543</v>
      </c>
      <c r="B13" s="56">
        <v>505.2</v>
      </c>
      <c r="C13" s="12">
        <v>282.2</v>
      </c>
      <c r="D13" s="57">
        <v>4.61</v>
      </c>
      <c r="E13" s="12">
        <v>91.3</v>
      </c>
      <c r="F13" s="12">
        <v>97.9</v>
      </c>
      <c r="G13" s="12">
        <v>9.2</v>
      </c>
      <c r="H13" s="56">
        <v>25040512</v>
      </c>
    </row>
    <row r="14" ht="16.5" spans="1:8">
      <c r="A14" s="68" t="s">
        <v>2544</v>
      </c>
      <c r="B14" s="56">
        <v>502</v>
      </c>
      <c r="C14" s="12">
        <v>272.9</v>
      </c>
      <c r="D14" s="57">
        <v>4.97</v>
      </c>
      <c r="E14" s="12">
        <v>91.2</v>
      </c>
      <c r="F14" s="12">
        <v>98.5</v>
      </c>
      <c r="G14" s="12">
        <v>5.8</v>
      </c>
      <c r="H14" s="56">
        <v>24120278</v>
      </c>
    </row>
    <row r="15" ht="16.5" spans="1:8">
      <c r="A15" s="68" t="s">
        <v>2545</v>
      </c>
      <c r="B15" s="56">
        <v>513</v>
      </c>
      <c r="C15" s="12">
        <v>248.9</v>
      </c>
      <c r="D15" s="57">
        <v>5.52</v>
      </c>
      <c r="E15" s="12">
        <v>55.1</v>
      </c>
      <c r="F15" s="12">
        <v>80.9</v>
      </c>
      <c r="G15" s="12">
        <v>6.6</v>
      </c>
      <c r="H15" s="56">
        <v>25090010</v>
      </c>
    </row>
    <row r="16" ht="16.5" spans="1:8">
      <c r="A16" s="68" t="s">
        <v>2546</v>
      </c>
      <c r="B16" s="56">
        <v>514.2</v>
      </c>
      <c r="C16" s="12">
        <v>272.4</v>
      </c>
      <c r="D16" s="57">
        <v>4.69</v>
      </c>
      <c r="E16" s="12">
        <v>92</v>
      </c>
      <c r="F16" s="12">
        <v>99.1</v>
      </c>
      <c r="G16" s="12">
        <v>12.5</v>
      </c>
      <c r="H16" s="56">
        <v>25040531</v>
      </c>
    </row>
    <row r="17" ht="16.5" spans="1:8">
      <c r="A17" s="68" t="s">
        <v>2547</v>
      </c>
      <c r="B17" s="56">
        <v>483.8</v>
      </c>
      <c r="C17" s="12">
        <v>287.9</v>
      </c>
      <c r="D17" s="57">
        <v>5.16</v>
      </c>
      <c r="E17" s="12">
        <v>85.4</v>
      </c>
      <c r="F17" s="12">
        <v>95.4</v>
      </c>
      <c r="G17" s="12">
        <v>9</v>
      </c>
      <c r="H17" s="56">
        <v>25020290</v>
      </c>
    </row>
    <row r="18" ht="16.5" spans="1:8">
      <c r="A18" s="68" t="s">
        <v>2548</v>
      </c>
      <c r="B18" s="56">
        <v>216.6</v>
      </c>
      <c r="C18" s="12">
        <v>251.9</v>
      </c>
      <c r="D18" s="57">
        <v>5.49</v>
      </c>
      <c r="E18" s="12">
        <v>54.8</v>
      </c>
      <c r="F18" s="12">
        <v>81.1</v>
      </c>
      <c r="G18" s="12">
        <v>6.6</v>
      </c>
      <c r="H18" s="56">
        <v>25090011</v>
      </c>
    </row>
    <row r="19" ht="16.5" spans="1:8">
      <c r="A19" s="68" t="s">
        <v>2549</v>
      </c>
      <c r="B19" s="56">
        <v>504.6</v>
      </c>
      <c r="C19" s="12">
        <v>273.3</v>
      </c>
      <c r="D19" s="57">
        <v>4.91</v>
      </c>
      <c r="E19" s="12">
        <v>90.8</v>
      </c>
      <c r="F19" s="12">
        <v>98.3</v>
      </c>
      <c r="G19" s="12">
        <v>5.8</v>
      </c>
      <c r="H19" s="56">
        <v>24120277</v>
      </c>
    </row>
    <row r="20" ht="16.5" spans="1:8">
      <c r="A20" s="68" t="s">
        <v>2550</v>
      </c>
      <c r="B20" s="56">
        <v>528.8</v>
      </c>
      <c r="C20" s="12">
        <v>279.4</v>
      </c>
      <c r="D20" s="57">
        <v>4.97</v>
      </c>
      <c r="E20" s="12">
        <v>91.5</v>
      </c>
      <c r="F20" s="12">
        <v>98.9</v>
      </c>
      <c r="G20" s="12">
        <v>5.8</v>
      </c>
      <c r="H20" s="56">
        <v>24120276</v>
      </c>
    </row>
    <row r="21" ht="16.5" spans="1:8">
      <c r="A21" s="68" t="s">
        <v>2551</v>
      </c>
      <c r="B21" s="56">
        <v>501</v>
      </c>
      <c r="C21" s="12">
        <v>285.1</v>
      </c>
      <c r="D21" s="57">
        <v>5.02</v>
      </c>
      <c r="E21" s="12">
        <v>91.4</v>
      </c>
      <c r="F21" s="12">
        <v>98.9</v>
      </c>
      <c r="G21" s="12">
        <v>5.8</v>
      </c>
      <c r="H21" s="56">
        <v>24120275</v>
      </c>
    </row>
    <row r="22" ht="16.5" spans="1:8">
      <c r="A22" s="68" t="s">
        <v>2552</v>
      </c>
      <c r="B22" s="56">
        <v>506.2</v>
      </c>
      <c r="C22" s="12">
        <v>294.4</v>
      </c>
      <c r="D22" s="57">
        <v>5.11</v>
      </c>
      <c r="E22" s="12">
        <v>89.1</v>
      </c>
      <c r="F22" s="12">
        <v>97.2</v>
      </c>
      <c r="G22" s="12">
        <v>5.8</v>
      </c>
      <c r="H22" s="114">
        <v>24120274</v>
      </c>
    </row>
    <row r="23" ht="16.5" spans="1:8">
      <c r="A23" s="115" t="s">
        <v>2553</v>
      </c>
      <c r="B23" s="109">
        <v>500.4</v>
      </c>
      <c r="C23" s="111">
        <v>251.8</v>
      </c>
      <c r="D23" s="112">
        <v>4.72</v>
      </c>
      <c r="E23" s="113">
        <v>91.6</v>
      </c>
      <c r="F23" s="113">
        <v>99.3</v>
      </c>
      <c r="G23" s="111">
        <v>10.5</v>
      </c>
      <c r="H23" s="109">
        <v>25040057</v>
      </c>
    </row>
    <row r="24" ht="16.5" spans="1:8">
      <c r="A24" s="23" t="s">
        <v>2554</v>
      </c>
      <c r="B24" s="14">
        <v>438.2</v>
      </c>
      <c r="C24" s="15">
        <v>261.3</v>
      </c>
      <c r="D24" s="16">
        <v>4.61</v>
      </c>
      <c r="E24" s="17">
        <v>92.7</v>
      </c>
      <c r="F24" s="17">
        <v>99.1</v>
      </c>
      <c r="G24" s="15">
        <v>11</v>
      </c>
      <c r="H24" s="14">
        <v>25040088</v>
      </c>
    </row>
    <row r="25" ht="16.5" spans="1:8">
      <c r="A25" s="86"/>
      <c r="B25" s="14"/>
      <c r="C25" s="15"/>
      <c r="D25" s="16"/>
      <c r="E25" s="17"/>
      <c r="F25" s="17"/>
    </row>
    <row r="26" ht="16.5" spans="1:8">
      <c r="A26" s="23"/>
      <c r="B26" s="14"/>
      <c r="C26" s="15"/>
      <c r="D26" s="16"/>
      <c r="E26" s="17"/>
      <c r="F26" s="17"/>
    </row>
  </sheetData>
  <conditionalFormatting sqref="A1:A2">
    <cfRule type="duplicateValues" dxfId="0" priority="3"/>
  </conditionalFormatting>
  <dataValidations count="1">
    <dataValidation allowBlank="1" showInputMessage="1" showErrorMessage="1" sqref="B3:C3 B26 B4:B24 C4:C26"/>
  </dataValidations>
  <pageMargins left="0.75" right="0.75" top="1" bottom="1" header="0.5" footer="0.5"/>
  <pageSetup paperSize="9" orientation="portrait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I1" sqref="A$1:I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2510003</v>
      </c>
      <c r="B1" s="2">
        <f>SUM(B3:B30)</f>
        <v>9846.2</v>
      </c>
      <c r="C1" s="3" cm="1">
        <f t="array" ref="C1">SUMPRODUCT(C3:C30*B3:B30)/B1</f>
        <v>270.90997339075</v>
      </c>
      <c r="D1" s="4" cm="1">
        <f t="array" ref="D1">SUMPRODUCT(B3:B30*D3:D30)/B1</f>
        <v>4.89701854522557</v>
      </c>
      <c r="E1" s="3" cm="1">
        <f t="array" ref="E1">SUMPRODUCT(B3:B30*E3:E30)/B1</f>
        <v>86.1805833722655</v>
      </c>
      <c r="F1" s="3" cm="1">
        <f t="array" ref="F1">SUMPRODUCT(B3:B30*F3:F30)/B1</f>
        <v>96.2786760374561</v>
      </c>
      <c r="G1" s="3" cm="1">
        <f t="array" ref="G1">SUMPRODUCT(B3:B30*G3:G30)/B1</f>
        <v>11.669337815604</v>
      </c>
    </row>
    <row r="2" ht="16.5" spans="1:8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69" t="s">
        <v>2555</v>
      </c>
      <c r="B3" s="24">
        <v>524</v>
      </c>
      <c r="C3" s="28">
        <v>291.6</v>
      </c>
      <c r="D3" s="25">
        <v>5</v>
      </c>
      <c r="E3" s="29">
        <v>94.5</v>
      </c>
      <c r="F3" s="29">
        <v>99</v>
      </c>
      <c r="G3" s="25">
        <v>12.64</v>
      </c>
      <c r="H3" s="24">
        <v>24090114</v>
      </c>
    </row>
    <row r="4" ht="16.5" spans="1:8">
      <c r="A4" s="69" t="s">
        <v>2556</v>
      </c>
      <c r="B4" s="24">
        <v>523.4</v>
      </c>
      <c r="C4" s="28">
        <v>293.5</v>
      </c>
      <c r="D4" s="25">
        <v>5.05</v>
      </c>
      <c r="E4" s="29">
        <v>95.9</v>
      </c>
      <c r="F4" s="29">
        <v>99.4</v>
      </c>
      <c r="G4" s="25">
        <v>12.61</v>
      </c>
      <c r="H4" s="24">
        <v>24090115</v>
      </c>
    </row>
    <row r="5" ht="16.5" spans="1:8">
      <c r="A5" s="30" t="s">
        <v>2557</v>
      </c>
      <c r="B5" s="24">
        <v>472.4</v>
      </c>
      <c r="C5" s="28">
        <v>267.2</v>
      </c>
      <c r="D5" s="25">
        <v>5.24</v>
      </c>
      <c r="E5" s="29">
        <v>85.5</v>
      </c>
      <c r="F5" s="29">
        <v>96.7</v>
      </c>
      <c r="G5" s="25">
        <v>11.22</v>
      </c>
      <c r="H5" s="24">
        <v>24120307</v>
      </c>
    </row>
    <row r="6" ht="16.5" spans="1:8">
      <c r="A6" s="30" t="s">
        <v>2558</v>
      </c>
      <c r="B6" s="24">
        <v>487.2</v>
      </c>
      <c r="C6" s="28">
        <v>268.8</v>
      </c>
      <c r="D6" s="25">
        <v>5.35</v>
      </c>
      <c r="E6" s="29">
        <v>88.6</v>
      </c>
      <c r="F6" s="29">
        <v>97.5</v>
      </c>
      <c r="G6" s="25">
        <v>12.52</v>
      </c>
      <c r="H6" s="24">
        <v>24120428</v>
      </c>
    </row>
    <row r="7" ht="16.5" spans="1:8">
      <c r="A7" s="30" t="s">
        <v>2559</v>
      </c>
      <c r="B7" s="24">
        <v>260</v>
      </c>
      <c r="C7" s="28">
        <v>262.2</v>
      </c>
      <c r="D7" s="25">
        <v>5.38</v>
      </c>
      <c r="E7" s="29">
        <v>83.3</v>
      </c>
      <c r="F7" s="29">
        <v>94.3</v>
      </c>
      <c r="G7" s="25">
        <v>12.34</v>
      </c>
      <c r="H7" s="24">
        <v>24120513</v>
      </c>
    </row>
    <row r="8" ht="16.5" spans="1:8">
      <c r="A8" s="30" t="s">
        <v>2560</v>
      </c>
      <c r="B8" s="24">
        <v>483.8</v>
      </c>
      <c r="C8" s="28">
        <v>265.9</v>
      </c>
      <c r="D8" s="25">
        <v>5.08</v>
      </c>
      <c r="E8" s="29">
        <v>88.7</v>
      </c>
      <c r="F8" s="29">
        <v>97.2</v>
      </c>
      <c r="G8" s="25">
        <v>12.65</v>
      </c>
      <c r="H8" s="24">
        <v>24120534</v>
      </c>
    </row>
    <row r="9" ht="16.5" spans="1:8">
      <c r="A9" s="30" t="s">
        <v>2561</v>
      </c>
      <c r="B9" s="24">
        <v>465.2</v>
      </c>
      <c r="C9" s="28">
        <v>276.6</v>
      </c>
      <c r="D9" s="25">
        <v>5.33</v>
      </c>
      <c r="E9" s="29">
        <v>89.4</v>
      </c>
      <c r="F9" s="29">
        <v>97.4</v>
      </c>
      <c r="G9" s="25">
        <v>11.82</v>
      </c>
      <c r="H9" s="24">
        <v>24120558</v>
      </c>
    </row>
    <row r="10" ht="16.5" spans="1:8">
      <c r="A10" s="30" t="s">
        <v>2562</v>
      </c>
      <c r="B10" s="24">
        <v>484.2</v>
      </c>
      <c r="C10" s="28">
        <v>275.4</v>
      </c>
      <c r="D10" s="25">
        <v>5.41</v>
      </c>
      <c r="E10" s="29">
        <v>89.8</v>
      </c>
      <c r="F10" s="29">
        <v>97.8</v>
      </c>
      <c r="G10" s="25">
        <v>11.84</v>
      </c>
      <c r="H10" s="24">
        <v>24120557</v>
      </c>
    </row>
    <row r="11" ht="16.5" spans="1:8">
      <c r="A11" s="23" t="s">
        <v>2563</v>
      </c>
      <c r="B11" s="14">
        <v>525.4</v>
      </c>
      <c r="C11" s="15">
        <v>280.2</v>
      </c>
      <c r="D11" s="16">
        <v>5.11</v>
      </c>
      <c r="E11" s="17">
        <v>90.2</v>
      </c>
      <c r="F11" s="17">
        <v>97.8</v>
      </c>
      <c r="G11" s="16">
        <v>10.97</v>
      </c>
      <c r="H11" s="14">
        <v>25010349</v>
      </c>
    </row>
    <row r="12" ht="16.5" spans="1:8">
      <c r="A12" s="23" t="s">
        <v>2564</v>
      </c>
      <c r="B12" s="14">
        <v>285.8</v>
      </c>
      <c r="C12" s="15">
        <v>258.3</v>
      </c>
      <c r="D12" s="16">
        <v>5.49</v>
      </c>
      <c r="E12" s="17">
        <v>89.8</v>
      </c>
      <c r="F12" s="17">
        <v>98.1</v>
      </c>
      <c r="G12" s="16">
        <v>12.21</v>
      </c>
      <c r="H12" s="14">
        <v>25010387</v>
      </c>
    </row>
    <row r="13" ht="16.5" spans="1:8">
      <c r="A13" s="23" t="s">
        <v>2565</v>
      </c>
      <c r="B13" s="14">
        <v>365.4</v>
      </c>
      <c r="C13" s="15">
        <v>261.8</v>
      </c>
      <c r="D13" s="16">
        <v>5.38</v>
      </c>
      <c r="E13" s="17">
        <v>90.6</v>
      </c>
      <c r="F13" s="17">
        <v>98.7</v>
      </c>
      <c r="G13" s="16">
        <v>11.67</v>
      </c>
      <c r="H13" s="14">
        <v>25010432</v>
      </c>
    </row>
    <row r="14" ht="16.5" spans="1:8">
      <c r="A14" s="30" t="s">
        <v>2566</v>
      </c>
      <c r="B14" s="24">
        <v>644.2</v>
      </c>
      <c r="C14" s="28">
        <v>287.2</v>
      </c>
      <c r="D14" s="25">
        <v>4.06</v>
      </c>
      <c r="E14" s="29">
        <v>89.5</v>
      </c>
      <c r="F14" s="29">
        <v>97.9</v>
      </c>
      <c r="G14" s="25">
        <v>10.91</v>
      </c>
      <c r="H14" s="24">
        <v>25030158</v>
      </c>
    </row>
    <row r="15" ht="16.5" spans="1:8">
      <c r="A15" s="30" t="s">
        <v>2567</v>
      </c>
      <c r="B15" s="24">
        <v>220.4</v>
      </c>
      <c r="C15" s="28">
        <v>269.1</v>
      </c>
      <c r="D15" s="25">
        <v>4.08</v>
      </c>
      <c r="E15" s="29">
        <v>90.3</v>
      </c>
      <c r="F15" s="29">
        <v>99</v>
      </c>
      <c r="G15" s="25">
        <v>11.59</v>
      </c>
      <c r="H15" s="24">
        <v>25030179</v>
      </c>
    </row>
    <row r="16" ht="16.5" spans="1:8">
      <c r="A16" s="30" t="s">
        <v>2568</v>
      </c>
      <c r="B16" s="24">
        <v>476</v>
      </c>
      <c r="C16" s="28">
        <v>268.4</v>
      </c>
      <c r="D16" s="25">
        <v>4.23</v>
      </c>
      <c r="E16" s="29">
        <v>90.4</v>
      </c>
      <c r="F16" s="29">
        <v>99.1</v>
      </c>
      <c r="G16" s="25">
        <v>11.24</v>
      </c>
      <c r="H16" s="24">
        <v>25030182</v>
      </c>
    </row>
    <row r="17" ht="16.5" spans="1:8">
      <c r="A17" s="30" t="s">
        <v>2569</v>
      </c>
      <c r="B17" s="24">
        <v>507.6</v>
      </c>
      <c r="C17" s="28">
        <v>274.4</v>
      </c>
      <c r="D17" s="25">
        <v>4.15</v>
      </c>
      <c r="E17" s="29">
        <v>90.8</v>
      </c>
      <c r="F17" s="29">
        <v>99.4</v>
      </c>
      <c r="G17" s="25">
        <v>11.48</v>
      </c>
      <c r="H17" s="24">
        <v>25030181</v>
      </c>
    </row>
    <row r="18" ht="16.5" spans="1:8">
      <c r="A18" s="30" t="s">
        <v>2570</v>
      </c>
      <c r="B18" s="24">
        <v>755.6</v>
      </c>
      <c r="C18" s="28">
        <v>275.1</v>
      </c>
      <c r="D18" s="25">
        <v>4.23</v>
      </c>
      <c r="E18" s="29">
        <v>90.4</v>
      </c>
      <c r="F18" s="29">
        <v>98.6</v>
      </c>
      <c r="G18" s="25">
        <v>10.17</v>
      </c>
      <c r="H18" s="24">
        <v>25030193</v>
      </c>
    </row>
    <row r="19" ht="16.5" spans="1:8">
      <c r="A19" s="30" t="s">
        <v>2571</v>
      </c>
      <c r="B19" s="24">
        <v>646</v>
      </c>
      <c r="C19" s="28">
        <v>263.8</v>
      </c>
      <c r="D19" s="25">
        <v>4.29</v>
      </c>
      <c r="E19" s="29">
        <v>90.4</v>
      </c>
      <c r="F19" s="29">
        <v>98.7</v>
      </c>
      <c r="G19" s="25">
        <v>10.15</v>
      </c>
      <c r="H19" s="24">
        <v>25030194</v>
      </c>
    </row>
    <row r="20" ht="16.5" spans="1:8">
      <c r="A20" s="69" t="s">
        <v>2572</v>
      </c>
      <c r="B20" s="24">
        <v>498.8</v>
      </c>
      <c r="C20" s="28">
        <v>249.8</v>
      </c>
      <c r="D20" s="25">
        <v>5.05</v>
      </c>
      <c r="E20" s="29">
        <v>68.5</v>
      </c>
      <c r="F20" s="29">
        <v>88.6</v>
      </c>
      <c r="G20" s="25">
        <v>13.01</v>
      </c>
      <c r="H20" s="24">
        <v>25090006</v>
      </c>
    </row>
    <row r="21" ht="16.5" spans="1:8">
      <c r="A21" s="69" t="s">
        <v>2573</v>
      </c>
      <c r="B21" s="24">
        <v>681.4</v>
      </c>
      <c r="C21" s="28">
        <v>250</v>
      </c>
      <c r="D21" s="25">
        <v>5.13</v>
      </c>
      <c r="E21" s="29">
        <v>67.2</v>
      </c>
      <c r="F21" s="29">
        <v>87.9</v>
      </c>
      <c r="G21" s="25">
        <v>12.82</v>
      </c>
      <c r="H21" s="24">
        <v>25090007</v>
      </c>
    </row>
    <row r="22" ht="16.5" spans="1:8">
      <c r="A22" s="69" t="s">
        <v>2574</v>
      </c>
      <c r="B22" s="24">
        <v>539.4</v>
      </c>
      <c r="C22" s="28">
        <v>266.4</v>
      </c>
      <c r="D22" s="25">
        <v>5.71</v>
      </c>
      <c r="E22" s="29">
        <v>67</v>
      </c>
      <c r="F22" s="29">
        <v>85.9</v>
      </c>
      <c r="G22" s="25">
        <v>11.07</v>
      </c>
      <c r="H22" s="24">
        <v>25100050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2"/>
  </dataValidations>
  <pageMargins left="0.75" right="0.75" top="1" bottom="1" header="0.5" footer="0.5"/>
  <pageSetup paperSize="9" orientation="portrait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24" sqref="I24"/>
    </sheetView>
  </sheetViews>
  <sheetFormatPr defaultColWidth="9" defaultRowHeight="13.5" outlineLevelRow="5" outlineLevelCol="6"/>
  <cols>
    <col min="1" max="1" width="15.625" customWidth="1"/>
    <col min="7" max="7" width="9.375"/>
  </cols>
  <sheetData>
    <row r="1" ht="16.5" spans="1:7">
      <c r="A1" s="116">
        <v>1007</v>
      </c>
      <c r="B1" s="2">
        <f>SUM(B3:B30)</f>
        <v>201</v>
      </c>
      <c r="C1" s="3" cm="1">
        <f t="array" ref="C1">SUMPRODUCT(C3:C30*B3:B30)/B1</f>
        <v>194.333333333333</v>
      </c>
      <c r="D1" s="4" cm="1">
        <f t="array" ref="D1">SUMPRODUCT(B3:B30*D3:D30)/B1</f>
        <v>4.15900497512438</v>
      </c>
      <c r="E1" s="3" cm="1">
        <f t="array" ref="E1">SUMPRODUCT(B3:B30*E3:E30)/B1</f>
        <v>78.3522388059701</v>
      </c>
      <c r="F1" s="3" cm="1">
        <f t="array" ref="F1">SUMPRODUCT(B3:B30*F3:F30)/B1</f>
        <v>93.5542288557214</v>
      </c>
    </row>
    <row r="2" ht="16.5" spans="1:7">
      <c r="A2" s="6">
        <v>180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117" t="s">
        <v>2575</v>
      </c>
      <c r="B3" s="14">
        <v>35</v>
      </c>
      <c r="C3" s="15">
        <v>206</v>
      </c>
      <c r="D3" s="16">
        <v>4.26</v>
      </c>
      <c r="E3" s="17">
        <v>81.8</v>
      </c>
      <c r="F3" s="17">
        <v>95.4</v>
      </c>
      <c r="G3" s="14">
        <v>25040416</v>
      </c>
    </row>
    <row r="4" ht="16.5" spans="1:7">
      <c r="A4" s="23" t="s">
        <v>2576</v>
      </c>
      <c r="B4" s="14">
        <v>20</v>
      </c>
      <c r="C4" s="15">
        <v>172.5</v>
      </c>
      <c r="D4" s="16">
        <v>3.97</v>
      </c>
      <c r="E4" s="17">
        <v>71.9</v>
      </c>
      <c r="F4" s="17">
        <v>90.1</v>
      </c>
      <c r="G4" s="14">
        <v>25100106</v>
      </c>
    </row>
    <row r="5" ht="16.5" spans="1:7">
      <c r="A5" s="117" t="s">
        <v>2575</v>
      </c>
      <c r="B5" s="14">
        <v>96</v>
      </c>
      <c r="C5" s="15">
        <v>206</v>
      </c>
      <c r="D5" s="16">
        <v>4.26</v>
      </c>
      <c r="E5" s="17">
        <v>81.8</v>
      </c>
      <c r="F5" s="17">
        <v>95.4</v>
      </c>
      <c r="G5" s="14">
        <v>25040416</v>
      </c>
    </row>
    <row r="6" ht="16.5" spans="1:7">
      <c r="A6" s="23" t="s">
        <v>2576</v>
      </c>
      <c r="B6" s="14">
        <v>50</v>
      </c>
      <c r="C6" s="15">
        <v>172.5</v>
      </c>
      <c r="D6" s="16">
        <v>3.97</v>
      </c>
      <c r="E6" s="17">
        <v>71.9</v>
      </c>
      <c r="F6" s="17">
        <v>90.1</v>
      </c>
      <c r="G6" s="14">
        <v>25100106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6"/>
  </dataValidations>
  <pageMargins left="0.75" right="0.75" top="1" bottom="1" header="0.5" footer="0.5"/>
  <pageSetup paperSize="9" orientation="portrait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I1" sqref="A$1:I$1048576"/>
    </sheetView>
  </sheetViews>
  <sheetFormatPr defaultColWidth="9" defaultRowHeight="13.5"/>
  <cols>
    <col min="1" max="1" width="15.625" customWidth="1"/>
    <col min="2" max="2" width="9.25"/>
    <col min="7" max="7" width="9.375"/>
    <col min="9" max="9" width="15.625" customWidth="1"/>
  </cols>
  <sheetData>
    <row r="1" ht="16.5" spans="1:11">
      <c r="A1" s="1">
        <v>1008</v>
      </c>
      <c r="B1" s="61">
        <f>SUM(B3:B30)</f>
        <v>10116.2</v>
      </c>
      <c r="C1" s="3" cm="1">
        <f t="array" ref="C1">SUMPRODUCT(C3:C30*B3:B30)/B1</f>
        <v>209.645544769775</v>
      </c>
      <c r="D1" s="4" cm="1">
        <f t="array" ref="D1">SUMPRODUCT(B3:B30*D3:D30)/B1</f>
        <v>4.9170451355252</v>
      </c>
      <c r="E1" s="3" cm="1">
        <f t="array" ref="E1">SUMPRODUCT(B3:B30*E3:E30)/B1</f>
        <v>80.7723670943635</v>
      </c>
      <c r="F1" s="3" cm="1">
        <f t="array" ref="F1">SUMPRODUCT(B3:B30*F3:F30)/B1</f>
        <v>93.9270299124177</v>
      </c>
      <c r="I1" s="23" t="s">
        <v>2577</v>
      </c>
      <c r="J1" s="14">
        <v>491</v>
      </c>
      <c r="K1" s="14">
        <v>24120535</v>
      </c>
    </row>
    <row r="2" ht="16.5" spans="1:11">
      <c r="A2" s="5">
        <v>180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11">
      <c r="A3" s="39" t="s">
        <v>2578</v>
      </c>
      <c r="B3" s="9">
        <v>255.2</v>
      </c>
      <c r="C3" s="10">
        <v>205</v>
      </c>
      <c r="D3" s="11">
        <v>5.95</v>
      </c>
      <c r="E3" s="12">
        <v>77.4</v>
      </c>
      <c r="F3" s="12">
        <v>93.2</v>
      </c>
      <c r="G3" s="9">
        <v>25010585</v>
      </c>
    </row>
    <row r="4" ht="16.5" spans="1:11">
      <c r="A4" s="68" t="s">
        <v>2579</v>
      </c>
      <c r="B4" s="9">
        <v>523.6</v>
      </c>
      <c r="C4" s="10">
        <v>192.8</v>
      </c>
      <c r="D4" s="11">
        <v>5.33</v>
      </c>
      <c r="E4" s="12">
        <v>72.2</v>
      </c>
      <c r="F4" s="12">
        <v>90.2</v>
      </c>
      <c r="G4" s="9">
        <v>25020107</v>
      </c>
    </row>
    <row r="5" ht="16.5" spans="1:11">
      <c r="A5" s="68" t="s">
        <v>2580</v>
      </c>
      <c r="B5" s="97">
        <v>534.8</v>
      </c>
      <c r="C5" s="98">
        <v>231</v>
      </c>
      <c r="D5" s="99">
        <v>5.38</v>
      </c>
      <c r="E5" s="100">
        <v>84.1</v>
      </c>
      <c r="F5" s="100">
        <v>94.8</v>
      </c>
      <c r="G5" s="97">
        <v>24070271</v>
      </c>
    </row>
    <row r="6" ht="16.5" spans="1:11">
      <c r="A6" s="68" t="s">
        <v>2581</v>
      </c>
      <c r="B6" s="9">
        <v>558.2</v>
      </c>
      <c r="C6" s="10">
        <v>234.9</v>
      </c>
      <c r="D6" s="11">
        <v>5.76</v>
      </c>
      <c r="E6" s="12">
        <v>83.8</v>
      </c>
      <c r="F6" s="12">
        <v>94.9</v>
      </c>
      <c r="G6" s="9">
        <v>24070293</v>
      </c>
    </row>
    <row r="7" ht="16.5" spans="1:11">
      <c r="A7" s="68" t="s">
        <v>2582</v>
      </c>
      <c r="B7" s="9">
        <v>667.4</v>
      </c>
      <c r="C7" s="10">
        <v>150.6</v>
      </c>
      <c r="D7" s="11">
        <v>3.43</v>
      </c>
      <c r="E7" s="12">
        <v>77.9</v>
      </c>
      <c r="F7" s="12">
        <v>93.1</v>
      </c>
      <c r="G7" s="9">
        <v>25060335</v>
      </c>
    </row>
    <row r="8" ht="16.5" spans="1:11">
      <c r="A8" s="68" t="s">
        <v>2583</v>
      </c>
      <c r="B8" s="9">
        <v>508.8</v>
      </c>
      <c r="C8" s="10">
        <v>258.2</v>
      </c>
      <c r="D8" s="11">
        <v>5.27</v>
      </c>
      <c r="E8" s="12">
        <v>87.3</v>
      </c>
      <c r="F8" s="12">
        <v>97.3</v>
      </c>
      <c r="G8" s="9">
        <v>25010238</v>
      </c>
    </row>
    <row r="9" ht="16.5" spans="1:11">
      <c r="A9" s="68" t="s">
        <v>2584</v>
      </c>
      <c r="B9" s="9">
        <v>520.4</v>
      </c>
      <c r="C9" s="10">
        <v>187.9</v>
      </c>
      <c r="D9" s="11">
        <v>4.55</v>
      </c>
      <c r="E9" s="12">
        <v>71.2</v>
      </c>
      <c r="F9" s="12">
        <v>89.3</v>
      </c>
      <c r="G9" s="9">
        <v>25100006</v>
      </c>
    </row>
    <row r="10" ht="16.5" spans="1:11">
      <c r="A10" s="68" t="s">
        <v>2585</v>
      </c>
      <c r="B10" s="9">
        <v>405</v>
      </c>
      <c r="C10" s="10">
        <v>258.7</v>
      </c>
      <c r="D10" s="11">
        <v>5.16</v>
      </c>
      <c r="E10" s="12">
        <v>91.4</v>
      </c>
      <c r="F10" s="12">
        <v>98.8</v>
      </c>
      <c r="G10" s="9">
        <v>25010386</v>
      </c>
    </row>
    <row r="11" ht="16.5" spans="1:11">
      <c r="A11" s="68" t="s">
        <v>2586</v>
      </c>
      <c r="B11" s="9">
        <v>645.2</v>
      </c>
      <c r="C11" s="10">
        <v>152.1</v>
      </c>
      <c r="D11" s="11">
        <v>3.34</v>
      </c>
      <c r="E11" s="12">
        <v>79.8</v>
      </c>
      <c r="F11" s="12">
        <v>92.9</v>
      </c>
      <c r="G11" s="9">
        <v>25100009</v>
      </c>
    </row>
    <row r="12" ht="16.5" spans="1:11">
      <c r="A12" s="68" t="s">
        <v>2587</v>
      </c>
      <c r="B12" s="9">
        <v>459.4</v>
      </c>
      <c r="C12" s="10">
        <v>219.2</v>
      </c>
      <c r="D12" s="11">
        <v>6.24</v>
      </c>
      <c r="E12" s="12">
        <v>64.8</v>
      </c>
      <c r="F12" s="12">
        <v>87.2</v>
      </c>
      <c r="G12" s="9">
        <v>25020308</v>
      </c>
    </row>
    <row r="13" ht="16.5" spans="1:11">
      <c r="A13" s="68" t="s">
        <v>2588</v>
      </c>
      <c r="B13" s="9">
        <v>710.8</v>
      </c>
      <c r="C13" s="10">
        <v>154.5</v>
      </c>
      <c r="D13" s="11">
        <v>3.34</v>
      </c>
      <c r="E13" s="12">
        <v>79.5</v>
      </c>
      <c r="F13" s="12">
        <v>92.7</v>
      </c>
      <c r="G13" s="9">
        <v>25100010</v>
      </c>
    </row>
    <row r="14" ht="16.5" spans="1:11">
      <c r="A14" s="68" t="s">
        <v>2589</v>
      </c>
      <c r="B14" s="9">
        <v>549.8</v>
      </c>
      <c r="C14" s="10">
        <v>255.4</v>
      </c>
      <c r="D14" s="11">
        <v>6.09</v>
      </c>
      <c r="E14" s="12">
        <v>86</v>
      </c>
      <c r="F14" s="12">
        <v>96.4</v>
      </c>
      <c r="G14" s="9">
        <v>25010411</v>
      </c>
    </row>
    <row r="15" ht="16.5" spans="1:11">
      <c r="A15" s="68" t="s">
        <v>2590</v>
      </c>
      <c r="B15" s="9">
        <v>585.8</v>
      </c>
      <c r="C15" s="10">
        <v>162</v>
      </c>
      <c r="D15" s="11">
        <v>3.36</v>
      </c>
      <c r="E15" s="12">
        <v>73.2</v>
      </c>
      <c r="F15" s="12">
        <v>90.8</v>
      </c>
      <c r="G15" s="9">
        <v>25100043</v>
      </c>
    </row>
    <row r="16" ht="16.5" spans="1:11">
      <c r="A16" s="68" t="s">
        <v>2591</v>
      </c>
      <c r="B16" s="9">
        <v>463</v>
      </c>
      <c r="C16" s="10">
        <v>241.5</v>
      </c>
      <c r="D16" s="11">
        <v>6.45</v>
      </c>
      <c r="E16" s="12">
        <v>84.7</v>
      </c>
      <c r="F16" s="12">
        <v>94.4</v>
      </c>
      <c r="G16" s="9">
        <v>24090160</v>
      </c>
    </row>
    <row r="17" ht="16.5" spans="1:7">
      <c r="A17" s="68" t="s">
        <v>2592</v>
      </c>
      <c r="B17" s="9">
        <v>713.4</v>
      </c>
      <c r="C17" s="10">
        <v>156.1</v>
      </c>
      <c r="D17" s="11">
        <v>3.55</v>
      </c>
      <c r="E17" s="12">
        <v>81.3</v>
      </c>
      <c r="F17" s="12">
        <v>95</v>
      </c>
      <c r="G17" s="9">
        <v>25100054</v>
      </c>
    </row>
    <row r="18" ht="16.5" spans="1:7">
      <c r="A18" s="68" t="s">
        <v>2593</v>
      </c>
      <c r="B18" s="9">
        <v>497.6</v>
      </c>
      <c r="C18" s="10">
        <v>254.2</v>
      </c>
      <c r="D18" s="11">
        <v>6</v>
      </c>
      <c r="E18" s="12">
        <v>84.8</v>
      </c>
      <c r="F18" s="12">
        <v>95.6</v>
      </c>
      <c r="G18" s="9">
        <v>25020243</v>
      </c>
    </row>
    <row r="19" ht="16.5" spans="1:7">
      <c r="A19" s="39" t="s">
        <v>2594</v>
      </c>
      <c r="B19" s="9">
        <v>517.8</v>
      </c>
      <c r="C19" s="10">
        <v>251.7</v>
      </c>
      <c r="D19" s="11">
        <v>6.03</v>
      </c>
      <c r="E19" s="12">
        <v>83.2</v>
      </c>
      <c r="F19" s="12">
        <v>95</v>
      </c>
      <c r="G19" s="9">
        <v>25020245</v>
      </c>
    </row>
    <row r="20" ht="16.5" spans="1:7">
      <c r="A20" s="39" t="s">
        <v>2595</v>
      </c>
      <c r="B20" s="9">
        <v>509</v>
      </c>
      <c r="C20" s="10">
        <v>253.5</v>
      </c>
      <c r="D20" s="11">
        <v>6</v>
      </c>
      <c r="E20" s="12">
        <v>86.9</v>
      </c>
      <c r="F20" s="12">
        <v>97</v>
      </c>
      <c r="G20" s="9">
        <v>25020218</v>
      </c>
    </row>
    <row r="21" ht="16.5" spans="1:7">
      <c r="A21" s="23" t="s">
        <v>2577</v>
      </c>
      <c r="B21" s="14">
        <v>491</v>
      </c>
      <c r="C21" s="15">
        <v>255.5</v>
      </c>
      <c r="D21" s="16">
        <v>5.13</v>
      </c>
      <c r="E21" s="17">
        <v>86.9</v>
      </c>
      <c r="F21" s="17">
        <v>97.1</v>
      </c>
      <c r="G21" s="14">
        <v>24120535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J1 B3:C21"/>
  </dataValidations>
  <pageMargins left="0.75" right="0.75" top="1" bottom="1" header="0.5" footer="0.5"/>
  <pageSetup paperSize="9" orientation="portrait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D28" sqref="D28:D29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1009</v>
      </c>
      <c r="B1" s="61">
        <f>SUM(B3:B30)</f>
        <v>10023.4</v>
      </c>
      <c r="C1" s="3" cm="1">
        <f t="array" ref="C1">SUMPRODUCT(C3:C30*B3:B30)/B1</f>
        <v>209.080573458108</v>
      </c>
      <c r="D1" s="4" cm="1">
        <f t="array" ref="D1">SUMPRODUCT(B3:B30*D3:D30)/B1</f>
        <v>4.90313705928128</v>
      </c>
      <c r="E1" s="3" cm="1">
        <f t="array" ref="E1">SUMPRODUCT(B3:B30*E3:E30)/B1</f>
        <v>79.2946984057306</v>
      </c>
      <c r="F1" s="3" cm="1">
        <f t="array" ref="F1">SUMPRODUCT(B3:B30*F3:F30)/B1</f>
        <v>92.5897978729772</v>
      </c>
    </row>
    <row r="2" ht="16.5" spans="1:7">
      <c r="A2" s="5">
        <v>180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0" t="s">
        <v>2596</v>
      </c>
      <c r="B3" s="24">
        <v>398.2</v>
      </c>
      <c r="C3" s="28">
        <v>178.4</v>
      </c>
      <c r="D3" s="25">
        <v>5.57</v>
      </c>
      <c r="E3" s="29">
        <v>71.6</v>
      </c>
      <c r="F3" s="29">
        <v>89.7</v>
      </c>
      <c r="G3" s="24">
        <v>24050348</v>
      </c>
    </row>
    <row r="4" ht="16.5" spans="1:7">
      <c r="A4" s="30" t="s">
        <v>2318</v>
      </c>
      <c r="B4" s="24">
        <v>532</v>
      </c>
      <c r="C4" s="28">
        <v>231.4</v>
      </c>
      <c r="D4" s="25">
        <v>5.87</v>
      </c>
      <c r="E4" s="29">
        <v>77</v>
      </c>
      <c r="F4" s="29">
        <v>90.7</v>
      </c>
      <c r="G4" s="24">
        <v>24060429</v>
      </c>
    </row>
    <row r="5" ht="16.5" spans="1:7">
      <c r="A5" s="69" t="s">
        <v>2597</v>
      </c>
      <c r="B5" s="24">
        <v>291</v>
      </c>
      <c r="C5" s="28">
        <v>239.8</v>
      </c>
      <c r="D5" s="25">
        <v>5.3</v>
      </c>
      <c r="E5" s="29">
        <v>87.2</v>
      </c>
      <c r="F5" s="29">
        <v>96.4</v>
      </c>
      <c r="G5" s="24">
        <v>24070268</v>
      </c>
    </row>
    <row r="6" ht="16.5" spans="1:7">
      <c r="A6" s="69" t="s">
        <v>2598</v>
      </c>
      <c r="B6" s="24">
        <v>264.2</v>
      </c>
      <c r="C6" s="28">
        <v>206.1</v>
      </c>
      <c r="D6" s="25">
        <v>5.79</v>
      </c>
      <c r="E6" s="29">
        <v>78.9</v>
      </c>
      <c r="F6" s="29">
        <v>92.5</v>
      </c>
      <c r="G6" s="24">
        <v>24070273</v>
      </c>
    </row>
    <row r="7" ht="16.5" spans="1:7">
      <c r="A7" s="69" t="s">
        <v>2599</v>
      </c>
      <c r="B7" s="24">
        <v>465</v>
      </c>
      <c r="C7" s="28">
        <v>161.5</v>
      </c>
      <c r="D7" s="25">
        <v>4.82</v>
      </c>
      <c r="E7" s="29">
        <v>72.7</v>
      </c>
      <c r="F7" s="29">
        <v>89.8</v>
      </c>
      <c r="G7" s="24">
        <v>24070278</v>
      </c>
    </row>
    <row r="8" ht="16.5" spans="1:7">
      <c r="A8" s="69" t="s">
        <v>2600</v>
      </c>
      <c r="B8" s="24">
        <v>238.6</v>
      </c>
      <c r="C8" s="28">
        <v>237.8</v>
      </c>
      <c r="D8" s="25">
        <v>6.64</v>
      </c>
      <c r="E8" s="29">
        <v>82.8</v>
      </c>
      <c r="F8" s="29">
        <v>93.3</v>
      </c>
      <c r="G8" s="24">
        <v>24090131</v>
      </c>
    </row>
    <row r="9" ht="16.5" spans="1:7">
      <c r="A9" s="69" t="s">
        <v>2601</v>
      </c>
      <c r="B9" s="24">
        <v>480.6</v>
      </c>
      <c r="C9" s="28">
        <v>240.6</v>
      </c>
      <c r="D9" s="25">
        <v>6.45</v>
      </c>
      <c r="E9" s="29">
        <v>85.3</v>
      </c>
      <c r="F9" s="29">
        <v>94.4</v>
      </c>
      <c r="G9" s="24">
        <v>24090133</v>
      </c>
    </row>
    <row r="10" ht="16.5" spans="1:7">
      <c r="A10" s="104" t="s">
        <v>2387</v>
      </c>
      <c r="B10" s="24">
        <v>510</v>
      </c>
      <c r="C10" s="28">
        <v>227.6</v>
      </c>
      <c r="D10" s="25">
        <v>6.32</v>
      </c>
      <c r="E10" s="29">
        <v>71.1</v>
      </c>
      <c r="F10" s="29">
        <v>90.1</v>
      </c>
      <c r="G10" s="24">
        <v>25020307</v>
      </c>
    </row>
    <row r="11" ht="16.5" spans="1:7">
      <c r="A11" s="104" t="s">
        <v>2602</v>
      </c>
      <c r="B11" s="24">
        <v>291.4</v>
      </c>
      <c r="C11" s="28">
        <v>220.9</v>
      </c>
      <c r="D11" s="25">
        <v>6.16</v>
      </c>
      <c r="E11" s="29">
        <v>70</v>
      </c>
      <c r="F11" s="29">
        <v>90.4</v>
      </c>
      <c r="G11" s="24">
        <v>25030284</v>
      </c>
    </row>
    <row r="12" ht="16.5" spans="1:7">
      <c r="A12" s="69" t="s">
        <v>2157</v>
      </c>
      <c r="B12" s="24">
        <v>633.6</v>
      </c>
      <c r="C12" s="28">
        <v>241.8</v>
      </c>
      <c r="D12" s="25">
        <v>5.22</v>
      </c>
      <c r="E12" s="29">
        <v>86.2</v>
      </c>
      <c r="F12" s="29">
        <v>96.6</v>
      </c>
      <c r="G12" s="24">
        <v>25060306</v>
      </c>
    </row>
    <row r="13" ht="16.5" spans="1:7">
      <c r="A13" s="69" t="s">
        <v>2603</v>
      </c>
      <c r="B13" s="24">
        <v>512.6</v>
      </c>
      <c r="C13" s="28">
        <v>200.2</v>
      </c>
      <c r="D13" s="25">
        <v>4.8</v>
      </c>
      <c r="E13" s="29">
        <v>72.5</v>
      </c>
      <c r="F13" s="29">
        <v>90</v>
      </c>
      <c r="G13" s="24">
        <v>25100005</v>
      </c>
    </row>
    <row r="14" ht="16.5" spans="1:7">
      <c r="A14" s="30" t="s">
        <v>2604</v>
      </c>
      <c r="B14" s="24">
        <v>674.8</v>
      </c>
      <c r="C14" s="28">
        <v>228.6</v>
      </c>
      <c r="D14" s="25">
        <v>4.52</v>
      </c>
      <c r="E14" s="29">
        <v>88.4</v>
      </c>
      <c r="F14" s="29">
        <v>97.7</v>
      </c>
      <c r="G14" s="24">
        <v>25100096</v>
      </c>
    </row>
    <row r="15" ht="16.5" spans="1:7">
      <c r="A15" s="30" t="s">
        <v>2605</v>
      </c>
      <c r="B15" s="24">
        <v>548.2</v>
      </c>
      <c r="C15" s="28">
        <v>229.9</v>
      </c>
      <c r="D15" s="25">
        <v>4.57</v>
      </c>
      <c r="E15" s="29">
        <v>87.4</v>
      </c>
      <c r="F15" s="29">
        <v>97.1</v>
      </c>
      <c r="G15" s="24">
        <v>25100099</v>
      </c>
    </row>
    <row r="16" ht="16.5" spans="1:7">
      <c r="A16" s="30" t="s">
        <v>2606</v>
      </c>
      <c r="B16" s="24">
        <v>297</v>
      </c>
      <c r="C16" s="28">
        <v>209.9</v>
      </c>
      <c r="D16" s="25">
        <v>4.94</v>
      </c>
      <c r="E16" s="29">
        <v>74.5</v>
      </c>
      <c r="F16" s="29">
        <v>90.1</v>
      </c>
      <c r="G16" s="24">
        <v>25100117</v>
      </c>
    </row>
    <row r="17" ht="16.5" spans="1:7">
      <c r="A17" s="30" t="s">
        <v>2607</v>
      </c>
      <c r="B17" s="24">
        <v>593.4</v>
      </c>
      <c r="C17" s="28">
        <v>199.7</v>
      </c>
      <c r="D17" s="25">
        <v>4.17</v>
      </c>
      <c r="E17" s="29">
        <v>79</v>
      </c>
      <c r="F17" s="29">
        <v>92.1</v>
      </c>
      <c r="G17" s="24">
        <v>25100148</v>
      </c>
    </row>
    <row r="18" ht="16.5" spans="1:7">
      <c r="A18" s="30" t="s">
        <v>2608</v>
      </c>
      <c r="B18" s="24">
        <v>294.8</v>
      </c>
      <c r="C18" s="28">
        <v>197.7</v>
      </c>
      <c r="D18" s="25">
        <v>4.17</v>
      </c>
      <c r="E18" s="29">
        <v>79</v>
      </c>
      <c r="F18" s="29">
        <v>92</v>
      </c>
      <c r="G18" s="24">
        <v>25100149</v>
      </c>
    </row>
    <row r="19" ht="16.5" spans="1:7">
      <c r="A19" s="30" t="s">
        <v>2609</v>
      </c>
      <c r="B19" s="24">
        <v>553</v>
      </c>
      <c r="C19" s="28">
        <v>194.1</v>
      </c>
      <c r="D19" s="25">
        <v>4.2</v>
      </c>
      <c r="E19" s="29">
        <v>77.5</v>
      </c>
      <c r="F19" s="29">
        <v>91.4</v>
      </c>
      <c r="G19" s="24">
        <v>25100150</v>
      </c>
    </row>
    <row r="20" ht="16.5" spans="1:7">
      <c r="A20" s="30" t="s">
        <v>2610</v>
      </c>
      <c r="B20" s="24">
        <v>732.6</v>
      </c>
      <c r="C20" s="28">
        <v>184.6</v>
      </c>
      <c r="D20" s="25">
        <v>4.49</v>
      </c>
      <c r="E20" s="29">
        <v>74</v>
      </c>
      <c r="F20" s="29">
        <v>89.5</v>
      </c>
      <c r="G20" s="24">
        <v>25100174</v>
      </c>
    </row>
    <row r="21" ht="16.5" spans="1:7">
      <c r="A21" s="30" t="s">
        <v>2611</v>
      </c>
      <c r="B21" s="24">
        <v>557.8</v>
      </c>
      <c r="C21" s="28">
        <v>203.2</v>
      </c>
      <c r="D21" s="25">
        <v>4.03</v>
      </c>
      <c r="E21" s="29">
        <v>77.4</v>
      </c>
      <c r="F21" s="29">
        <v>90.8</v>
      </c>
      <c r="G21" s="24">
        <v>25100202</v>
      </c>
    </row>
    <row r="22" ht="16.5" spans="1:7">
      <c r="A22" s="30" t="s">
        <v>2612</v>
      </c>
      <c r="B22" s="24">
        <v>582</v>
      </c>
      <c r="C22" s="28">
        <v>203.8</v>
      </c>
      <c r="D22" s="25">
        <v>4.03</v>
      </c>
      <c r="E22" s="29">
        <v>83.5</v>
      </c>
      <c r="F22" s="29">
        <v>93.9</v>
      </c>
      <c r="G22" s="24">
        <v>25100219</v>
      </c>
    </row>
    <row r="23" ht="16.5" spans="1:7">
      <c r="A23" s="30" t="s">
        <v>2613</v>
      </c>
      <c r="B23" s="24">
        <v>572.6</v>
      </c>
      <c r="C23" s="28">
        <v>174</v>
      </c>
      <c r="D23" s="25">
        <v>3.65</v>
      </c>
      <c r="E23" s="29">
        <v>82.8</v>
      </c>
      <c r="F23" s="29">
        <v>93.4</v>
      </c>
      <c r="G23" s="24">
        <v>25100220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3"/>
  </dataValidations>
  <pageMargins left="0.75" right="0.75" top="1" bottom="1" header="0.5" footer="0.5"/>
  <pageSetup paperSize="9" orientation="portrait"/>
  <headerFooter/>
  <legacy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I1" sqref="A$1:I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1010</v>
      </c>
      <c r="B1" s="2">
        <f>SUM(B3:B30)</f>
        <v>10069.2</v>
      </c>
      <c r="C1" s="3" cm="1">
        <f t="array" ref="C1">SUMPRODUCT(C3:C30*B3:B30)/B1</f>
        <v>270.778306121638</v>
      </c>
      <c r="D1" s="4" cm="1">
        <f t="array" ref="D1">SUMPRODUCT(B3:B30*D3:D30)/B1</f>
        <v>4.89625670361101</v>
      </c>
      <c r="E1" s="3" cm="1">
        <f t="array" ref="E1">SUMPRODUCT(B3:B30*E3:E30)/B1</f>
        <v>87.5175147976006</v>
      </c>
      <c r="F1" s="3" cm="1">
        <f t="array" ref="F1">SUMPRODUCT(B3:B30*F3:F30)/B1</f>
        <v>96.6340066738172</v>
      </c>
      <c r="G1" s="3" cm="1">
        <f t="array" ref="G1">SUMPRODUCT(B3:B30*G3:G30)/B1</f>
        <v>7.29324077384499</v>
      </c>
    </row>
    <row r="2" ht="16.5" spans="1:8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2505</v>
      </c>
    </row>
    <row r="3" ht="16.5" spans="1:8">
      <c r="A3" s="68" t="s">
        <v>2534</v>
      </c>
      <c r="B3" s="56">
        <v>480.4</v>
      </c>
      <c r="C3" s="12">
        <v>277.7</v>
      </c>
      <c r="D3" s="57">
        <v>4.8</v>
      </c>
      <c r="E3" s="12">
        <v>92</v>
      </c>
      <c r="F3" s="12">
        <v>98.3</v>
      </c>
      <c r="G3" s="12">
        <v>4.8</v>
      </c>
      <c r="H3" s="56">
        <v>24120169</v>
      </c>
    </row>
    <row r="4" ht="16.5" spans="1:8">
      <c r="A4" s="68" t="s">
        <v>2535</v>
      </c>
      <c r="B4" s="56">
        <v>503</v>
      </c>
      <c r="C4" s="12">
        <v>276.2</v>
      </c>
      <c r="D4" s="57">
        <v>4.91</v>
      </c>
      <c r="E4" s="12">
        <v>88.9</v>
      </c>
      <c r="F4" s="12">
        <v>97.5</v>
      </c>
      <c r="G4" s="12">
        <v>4.3</v>
      </c>
      <c r="H4" s="56">
        <v>24120187</v>
      </c>
    </row>
    <row r="5" ht="16.5" spans="1:8">
      <c r="A5" s="68" t="s">
        <v>2536</v>
      </c>
      <c r="B5" s="56">
        <v>449.6</v>
      </c>
      <c r="C5" s="12">
        <v>273.4</v>
      </c>
      <c r="D5" s="57">
        <v>4.72</v>
      </c>
      <c r="E5" s="12">
        <v>89.7</v>
      </c>
      <c r="F5" s="12">
        <v>97</v>
      </c>
      <c r="G5" s="12">
        <v>8.4</v>
      </c>
      <c r="H5" s="56">
        <v>24120209</v>
      </c>
    </row>
    <row r="6" ht="16.5" spans="1:8">
      <c r="A6" s="68" t="s">
        <v>2537</v>
      </c>
      <c r="B6" s="56">
        <v>475</v>
      </c>
      <c r="C6" s="12">
        <v>274.8</v>
      </c>
      <c r="D6" s="57">
        <v>5.11</v>
      </c>
      <c r="E6" s="12">
        <v>89.4</v>
      </c>
      <c r="F6" s="12">
        <v>98.4</v>
      </c>
      <c r="G6" s="12">
        <v>6.4</v>
      </c>
      <c r="H6" s="56">
        <v>24120252</v>
      </c>
    </row>
    <row r="7" ht="16.5" spans="1:8">
      <c r="A7" s="68" t="s">
        <v>2538</v>
      </c>
      <c r="B7" s="56">
        <v>210.4</v>
      </c>
      <c r="C7" s="12">
        <v>231.1</v>
      </c>
      <c r="D7" s="57">
        <v>4.08</v>
      </c>
      <c r="E7" s="12">
        <v>89.7</v>
      </c>
      <c r="F7" s="12">
        <v>96.1</v>
      </c>
      <c r="G7" s="12">
        <v>9.6</v>
      </c>
      <c r="H7" s="114">
        <v>24090002</v>
      </c>
    </row>
    <row r="8" ht="16.5" spans="1:8">
      <c r="A8" s="68" t="s">
        <v>2539</v>
      </c>
      <c r="B8" s="56">
        <v>511.6</v>
      </c>
      <c r="C8" s="12">
        <v>196.7</v>
      </c>
      <c r="D8" s="57">
        <v>3.53</v>
      </c>
      <c r="E8" s="12">
        <v>88.5</v>
      </c>
      <c r="F8" s="12">
        <v>95.3</v>
      </c>
      <c r="G8" s="12">
        <v>9.6</v>
      </c>
      <c r="H8" s="114">
        <v>24090006</v>
      </c>
    </row>
    <row r="9" ht="16.5" spans="1:8">
      <c r="A9" s="68" t="s">
        <v>2540</v>
      </c>
      <c r="B9" s="56">
        <v>485.8</v>
      </c>
      <c r="C9" s="12">
        <v>284</v>
      </c>
      <c r="D9" s="57">
        <v>5.16</v>
      </c>
      <c r="E9" s="12">
        <v>88.6</v>
      </c>
      <c r="F9" s="12">
        <v>97.6</v>
      </c>
      <c r="G9" s="12">
        <v>6.4</v>
      </c>
      <c r="H9" s="56">
        <v>24120251</v>
      </c>
    </row>
    <row r="10" ht="16.5" spans="1:8">
      <c r="A10" s="68" t="s">
        <v>2541</v>
      </c>
      <c r="B10" s="56">
        <v>480.2</v>
      </c>
      <c r="C10" s="12">
        <v>288.6</v>
      </c>
      <c r="D10" s="57">
        <v>5.11</v>
      </c>
      <c r="E10" s="12">
        <v>87.9</v>
      </c>
      <c r="F10" s="12">
        <v>97.1</v>
      </c>
      <c r="G10" s="12">
        <v>6.4</v>
      </c>
      <c r="H10" s="56">
        <v>24120248</v>
      </c>
    </row>
    <row r="11" ht="16.5" spans="1:8">
      <c r="A11" s="68" t="s">
        <v>943</v>
      </c>
      <c r="B11" s="56">
        <v>471.4</v>
      </c>
      <c r="C11" s="12">
        <v>281.9</v>
      </c>
      <c r="D11" s="57">
        <v>4.97</v>
      </c>
      <c r="E11" s="12">
        <v>91.6</v>
      </c>
      <c r="F11" s="12">
        <v>98.6</v>
      </c>
      <c r="G11" s="12">
        <v>5.8</v>
      </c>
      <c r="H11" s="56">
        <v>24120038</v>
      </c>
    </row>
    <row r="12" ht="16.5" spans="1:8">
      <c r="A12" s="68" t="s">
        <v>2542</v>
      </c>
      <c r="B12" s="56">
        <v>287.8</v>
      </c>
      <c r="C12" s="12">
        <v>287.9</v>
      </c>
      <c r="D12" s="57">
        <v>5.79</v>
      </c>
      <c r="E12" s="12">
        <v>85.9</v>
      </c>
      <c r="F12" s="12">
        <v>97.5</v>
      </c>
      <c r="G12" s="12">
        <v>4.3</v>
      </c>
      <c r="H12" s="56">
        <v>24120119</v>
      </c>
    </row>
    <row r="13" ht="16.5" spans="1:8">
      <c r="A13" s="68" t="s">
        <v>2543</v>
      </c>
      <c r="B13" s="56">
        <v>505.2</v>
      </c>
      <c r="C13" s="12">
        <v>282.2</v>
      </c>
      <c r="D13" s="57">
        <v>4.61</v>
      </c>
      <c r="E13" s="12">
        <v>91.3</v>
      </c>
      <c r="F13" s="12">
        <v>97.9</v>
      </c>
      <c r="G13" s="12">
        <v>9.2</v>
      </c>
      <c r="H13" s="56">
        <v>25040512</v>
      </c>
    </row>
    <row r="14" ht="16.5" spans="1:8">
      <c r="A14" s="68" t="s">
        <v>2544</v>
      </c>
      <c r="B14" s="56">
        <v>502</v>
      </c>
      <c r="C14" s="12">
        <v>272.9</v>
      </c>
      <c r="D14" s="57">
        <v>4.97</v>
      </c>
      <c r="E14" s="12">
        <v>91.2</v>
      </c>
      <c r="F14" s="12">
        <v>98.5</v>
      </c>
      <c r="G14" s="12">
        <v>5.8</v>
      </c>
      <c r="H14" s="56">
        <v>24120278</v>
      </c>
    </row>
    <row r="15" ht="16.5" spans="1:8">
      <c r="A15" s="68" t="s">
        <v>2545</v>
      </c>
      <c r="B15" s="56">
        <v>513</v>
      </c>
      <c r="C15" s="12">
        <v>248.9</v>
      </c>
      <c r="D15" s="57">
        <v>5.52</v>
      </c>
      <c r="E15" s="12">
        <v>55.1</v>
      </c>
      <c r="F15" s="12">
        <v>80.9</v>
      </c>
      <c r="G15" s="12">
        <v>6.6</v>
      </c>
      <c r="H15" s="56">
        <v>25090010</v>
      </c>
    </row>
    <row r="16" ht="16.5" spans="1:8">
      <c r="A16" s="68" t="s">
        <v>2546</v>
      </c>
      <c r="B16" s="56">
        <v>514.2</v>
      </c>
      <c r="C16" s="12">
        <v>272.4</v>
      </c>
      <c r="D16" s="57">
        <v>4.69</v>
      </c>
      <c r="E16" s="12">
        <v>92</v>
      </c>
      <c r="F16" s="12">
        <v>99.1</v>
      </c>
      <c r="G16" s="12">
        <v>12.5</v>
      </c>
      <c r="H16" s="56">
        <v>25040531</v>
      </c>
    </row>
    <row r="17" ht="16.5" spans="1:8">
      <c r="A17" s="68" t="s">
        <v>2547</v>
      </c>
      <c r="B17" s="56">
        <v>483.8</v>
      </c>
      <c r="C17" s="12">
        <v>287.9</v>
      </c>
      <c r="D17" s="57">
        <v>5.16</v>
      </c>
      <c r="E17" s="12">
        <v>85.4</v>
      </c>
      <c r="F17" s="12">
        <v>95.4</v>
      </c>
      <c r="G17" s="12">
        <v>9</v>
      </c>
      <c r="H17" s="56">
        <v>25020290</v>
      </c>
    </row>
    <row r="18" ht="16.5" spans="1:8">
      <c r="A18" s="68" t="s">
        <v>2548</v>
      </c>
      <c r="B18" s="56">
        <v>216.6</v>
      </c>
      <c r="C18" s="12">
        <v>251.9</v>
      </c>
      <c r="D18" s="57">
        <v>5.49</v>
      </c>
      <c r="E18" s="12">
        <v>54.8</v>
      </c>
      <c r="F18" s="12">
        <v>81.1</v>
      </c>
      <c r="G18" s="12">
        <v>6.6</v>
      </c>
      <c r="H18" s="56">
        <v>25090011</v>
      </c>
    </row>
    <row r="19" ht="16.5" spans="1:8">
      <c r="A19" s="68" t="s">
        <v>2549</v>
      </c>
      <c r="B19" s="56">
        <v>504.6</v>
      </c>
      <c r="C19" s="12">
        <v>273.3</v>
      </c>
      <c r="D19" s="57">
        <v>4.91</v>
      </c>
      <c r="E19" s="12">
        <v>90.8</v>
      </c>
      <c r="F19" s="12">
        <v>98.3</v>
      </c>
      <c r="G19" s="12">
        <v>5.8</v>
      </c>
      <c r="H19" s="56">
        <v>24120277</v>
      </c>
    </row>
    <row r="20" ht="16.5" spans="1:8">
      <c r="A20" s="68" t="s">
        <v>2550</v>
      </c>
      <c r="B20" s="56">
        <v>528.8</v>
      </c>
      <c r="C20" s="12">
        <v>279.4</v>
      </c>
      <c r="D20" s="57">
        <v>4.97</v>
      </c>
      <c r="E20" s="12">
        <v>91.5</v>
      </c>
      <c r="F20" s="12">
        <v>98.9</v>
      </c>
      <c r="G20" s="12">
        <v>5.8</v>
      </c>
      <c r="H20" s="56">
        <v>24120276</v>
      </c>
    </row>
    <row r="21" ht="16.5" spans="1:8">
      <c r="A21" s="68" t="s">
        <v>2551</v>
      </c>
      <c r="B21" s="56">
        <v>501</v>
      </c>
      <c r="C21" s="12">
        <v>285.1</v>
      </c>
      <c r="D21" s="57">
        <v>5.02</v>
      </c>
      <c r="E21" s="12">
        <v>91.4</v>
      </c>
      <c r="F21" s="12">
        <v>98.9</v>
      </c>
      <c r="G21" s="12">
        <v>5.8</v>
      </c>
      <c r="H21" s="56">
        <v>24120275</v>
      </c>
    </row>
    <row r="22" ht="16.5" spans="1:8">
      <c r="A22" s="68" t="s">
        <v>2552</v>
      </c>
      <c r="B22" s="56">
        <v>506.2</v>
      </c>
      <c r="C22" s="12">
        <v>294.4</v>
      </c>
      <c r="D22" s="57">
        <v>5.11</v>
      </c>
      <c r="E22" s="12">
        <v>89.1</v>
      </c>
      <c r="F22" s="12">
        <v>97.2</v>
      </c>
      <c r="G22" s="12">
        <v>5.8</v>
      </c>
      <c r="H22" s="114">
        <v>24120274</v>
      </c>
    </row>
    <row r="23" ht="16.5" spans="1:8">
      <c r="A23" s="115" t="s">
        <v>2553</v>
      </c>
      <c r="B23" s="109">
        <v>500.4</v>
      </c>
      <c r="C23" s="111">
        <v>251.8</v>
      </c>
      <c r="D23" s="112">
        <v>4.72</v>
      </c>
      <c r="E23" s="113">
        <v>91.6</v>
      </c>
      <c r="F23" s="113">
        <v>99.3</v>
      </c>
      <c r="G23" s="111">
        <v>10.5</v>
      </c>
      <c r="H23" s="109">
        <v>25040057</v>
      </c>
    </row>
    <row r="24" ht="16.5" spans="1:8">
      <c r="A24" s="23" t="s">
        <v>2554</v>
      </c>
      <c r="B24" s="14">
        <v>438.2</v>
      </c>
      <c r="C24" s="15">
        <v>261.3</v>
      </c>
      <c r="D24" s="16">
        <v>4.61</v>
      </c>
      <c r="E24" s="17">
        <v>92.7</v>
      </c>
      <c r="F24" s="17">
        <v>99.1</v>
      </c>
      <c r="G24" s="15">
        <v>11</v>
      </c>
      <c r="H24" s="14">
        <v>25040088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4"/>
  </dataValidations>
  <pageMargins left="0.75" right="0.75" top="1" bottom="1" header="0.5" footer="0.5"/>
  <pageSetup paperSize="9" orientation="portrait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2" sqref="A12:A14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1011</v>
      </c>
      <c r="B1" s="61">
        <f>SUM(B3:B30)</f>
        <v>5078.2</v>
      </c>
      <c r="C1" s="3" cm="1">
        <f t="array" ref="C1">SUMPRODUCT(C3:C30*B3:B30)/B1</f>
        <v>114.964420463944</v>
      </c>
      <c r="D1" s="4" cm="1">
        <f t="array" ref="D1">SUMPRODUCT(B3:B30*D3:D30)/B1</f>
        <v>2.86330510810917</v>
      </c>
      <c r="E1" s="3" cm="1">
        <f t="array" ref="E1">SUMPRODUCT(B3:B30*E3:E30)/B1</f>
        <v>69.292839982671</v>
      </c>
      <c r="F1" s="3" cm="1">
        <f t="array" ref="F1">SUMPRODUCT(B3:B30*F3:F30)/B1</f>
        <v>88.0590878657792</v>
      </c>
    </row>
    <row r="2" ht="16.5" spans="1:7">
      <c r="A2" s="5">
        <v>100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0"/>
    </row>
    <row r="3" ht="16.5" spans="1:7">
      <c r="A3" s="39" t="s">
        <v>2614</v>
      </c>
      <c r="B3" s="9">
        <v>853.2</v>
      </c>
      <c r="C3" s="10">
        <v>113</v>
      </c>
      <c r="D3" s="11">
        <v>2.99</v>
      </c>
      <c r="E3" s="12">
        <v>80.2</v>
      </c>
      <c r="F3" s="12">
        <v>95.8</v>
      </c>
      <c r="G3" s="56">
        <v>25050254</v>
      </c>
    </row>
    <row r="4" ht="16.5" spans="1:7">
      <c r="A4" s="39" t="s">
        <v>2615</v>
      </c>
      <c r="B4" s="9">
        <v>589.4</v>
      </c>
      <c r="C4" s="10">
        <v>118.8</v>
      </c>
      <c r="D4" s="11">
        <v>2.7</v>
      </c>
      <c r="E4" s="12">
        <v>81</v>
      </c>
      <c r="F4" s="12">
        <v>93.6</v>
      </c>
      <c r="G4" s="56">
        <v>25100221</v>
      </c>
    </row>
    <row r="5" ht="16.5" spans="1:7">
      <c r="A5" s="39" t="s">
        <v>2616</v>
      </c>
      <c r="B5" s="9">
        <v>525.8</v>
      </c>
      <c r="C5" s="10">
        <v>106.2</v>
      </c>
      <c r="D5" s="11">
        <v>2.87</v>
      </c>
      <c r="E5" s="12">
        <v>42.2</v>
      </c>
      <c r="F5" s="12">
        <v>72.7</v>
      </c>
      <c r="G5" s="56">
        <v>24120451</v>
      </c>
    </row>
    <row r="6" ht="16.5" spans="1:7">
      <c r="A6" s="39" t="s">
        <v>2617</v>
      </c>
      <c r="B6" s="9">
        <v>480.2</v>
      </c>
      <c r="C6" s="10">
        <v>121.9</v>
      </c>
      <c r="D6" s="11">
        <v>2.61</v>
      </c>
      <c r="E6" s="12">
        <v>74.8</v>
      </c>
      <c r="F6" s="12">
        <v>90.4</v>
      </c>
      <c r="G6" s="56">
        <v>25100206</v>
      </c>
    </row>
    <row r="7" ht="16.5" spans="1:7">
      <c r="A7" s="39" t="s">
        <v>2618</v>
      </c>
      <c r="B7" s="9">
        <v>307.6</v>
      </c>
      <c r="C7" s="10">
        <v>121.7</v>
      </c>
      <c r="D7" s="11">
        <v>2.7</v>
      </c>
      <c r="E7" s="12">
        <v>79.6</v>
      </c>
      <c r="F7" s="12">
        <v>93.3</v>
      </c>
      <c r="G7" s="56">
        <v>25100192</v>
      </c>
    </row>
    <row r="8" ht="16.5" spans="1:7">
      <c r="A8" s="68" t="s">
        <v>2619</v>
      </c>
      <c r="B8" s="9">
        <v>484.4</v>
      </c>
      <c r="C8" s="10">
        <v>110.6</v>
      </c>
      <c r="D8" s="11">
        <v>2.48</v>
      </c>
      <c r="E8" s="12">
        <v>83.3</v>
      </c>
      <c r="F8" s="12">
        <v>93.7</v>
      </c>
      <c r="G8" s="56">
        <v>24090009</v>
      </c>
    </row>
    <row r="9" ht="16.5" spans="1:7">
      <c r="A9" s="39" t="s">
        <v>2620</v>
      </c>
      <c r="B9" s="9">
        <v>512</v>
      </c>
      <c r="C9" s="10">
        <v>111.2</v>
      </c>
      <c r="D9" s="11">
        <v>2.9</v>
      </c>
      <c r="E9" s="12">
        <v>42.6</v>
      </c>
      <c r="F9" s="12">
        <v>72.9</v>
      </c>
      <c r="G9" s="56">
        <v>24120450</v>
      </c>
    </row>
    <row r="10" ht="16.5" spans="1:7">
      <c r="A10" s="39" t="s">
        <v>2621</v>
      </c>
      <c r="B10" s="9">
        <v>524.6</v>
      </c>
      <c r="C10" s="10">
        <v>115.6</v>
      </c>
      <c r="D10" s="11">
        <v>3.12</v>
      </c>
      <c r="E10" s="12">
        <v>66.2</v>
      </c>
      <c r="F10" s="12">
        <v>86.9</v>
      </c>
      <c r="G10" s="56">
        <v>24120612</v>
      </c>
    </row>
    <row r="11" ht="16.5" spans="1:7">
      <c r="A11" s="39" t="s">
        <v>2622</v>
      </c>
      <c r="B11" s="9">
        <v>519.6</v>
      </c>
      <c r="C11" s="10">
        <v>114.5</v>
      </c>
      <c r="D11" s="11">
        <v>3.12</v>
      </c>
      <c r="E11" s="12">
        <v>65.6</v>
      </c>
      <c r="F11" s="12">
        <v>86.7</v>
      </c>
      <c r="G11" s="56">
        <v>24120613</v>
      </c>
    </row>
    <row r="12" ht="16.5" spans="1:7">
      <c r="A12" s="1">
        <v>20240718</v>
      </c>
      <c r="B12" s="19"/>
      <c r="C12" s="1">
        <v>106.6</v>
      </c>
      <c r="D12" s="1">
        <v>2.8</v>
      </c>
      <c r="E12" s="2">
        <v>72.1</v>
      </c>
      <c r="F12" s="2">
        <v>90.5</v>
      </c>
      <c r="G12" s="70"/>
    </row>
    <row r="13" ht="16.5" spans="1:7">
      <c r="A13" s="1">
        <v>20240719</v>
      </c>
      <c r="B13" s="19"/>
      <c r="C13" s="1">
        <v>106.2</v>
      </c>
      <c r="D13" s="1">
        <v>2.92</v>
      </c>
      <c r="E13" s="2">
        <v>71.8</v>
      </c>
      <c r="F13" s="2">
        <v>90.2</v>
      </c>
    </row>
    <row r="14" ht="16.5" spans="1:7">
      <c r="A14" s="1">
        <v>20240722</v>
      </c>
      <c r="B14" s="19"/>
      <c r="C14" s="1">
        <v>106.5</v>
      </c>
      <c r="D14" s="1">
        <v>2.93</v>
      </c>
      <c r="E14" s="2">
        <v>74.8</v>
      </c>
      <c r="F14" s="2">
        <v>91.7</v>
      </c>
    </row>
    <row r="15" ht="16.5" spans="1:7">
      <c r="A15" s="39" t="s">
        <v>2623</v>
      </c>
      <c r="B15" s="9">
        <v>281.4</v>
      </c>
      <c r="C15" s="10">
        <v>124.1</v>
      </c>
      <c r="D15" s="11">
        <v>3.06</v>
      </c>
      <c r="E15" s="12">
        <v>78.7</v>
      </c>
      <c r="F15" s="12">
        <v>94.5</v>
      </c>
      <c r="G15" s="24">
        <v>25060138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15:C15 C12:C14 B3:C11"/>
  </dataValidations>
  <pageMargins left="0.75" right="0.75" top="1" bottom="1" header="0.5" footer="0.5"/>
  <pageSetup paperSize="9" orientation="portrait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2" max="2" width="9.25"/>
    <col min="7" max="7" width="9.375"/>
  </cols>
  <sheetData>
    <row r="1" ht="16.5" spans="1:7">
      <c r="A1" s="1">
        <v>1012</v>
      </c>
      <c r="B1" s="61">
        <f>SUM(B3:B30)</f>
        <v>10101.2</v>
      </c>
      <c r="C1" s="3" cm="1">
        <f t="array" ref="C1">SUMPRODUCT(C3:C30*B3:B30)/B1</f>
        <v>236.272273432859</v>
      </c>
      <c r="D1" s="4" cm="1">
        <f t="array" ref="D1">SUMPRODUCT(B3:B30*D3:D30)/B1</f>
        <v>4.91910604680632</v>
      </c>
      <c r="E1" s="3" cm="1">
        <f t="array" ref="E1">SUMPRODUCT(B3:B30*E3:E30)/B1</f>
        <v>81.3055082564448</v>
      </c>
      <c r="F1" s="3" cm="1">
        <f t="array" ref="F1">SUMPRODUCT(B3:B30*F3:F30)/B1</f>
        <v>93.7751692868174</v>
      </c>
    </row>
    <row r="2" ht="16.5" spans="1:7">
      <c r="A2" s="5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54" t="s">
        <v>2624</v>
      </c>
      <c r="B3" s="9">
        <v>689.4</v>
      </c>
      <c r="C3" s="10">
        <v>265.7</v>
      </c>
      <c r="D3" s="11">
        <v>5.63</v>
      </c>
      <c r="E3" s="12">
        <v>72.7</v>
      </c>
      <c r="F3" s="12">
        <v>89.3</v>
      </c>
      <c r="G3" s="9">
        <v>25100037</v>
      </c>
    </row>
    <row r="4" ht="16.5" spans="1:7">
      <c r="A4" s="54" t="s">
        <v>2625</v>
      </c>
      <c r="B4" s="9">
        <v>241.2</v>
      </c>
      <c r="C4" s="10">
        <v>277.2</v>
      </c>
      <c r="D4" s="11">
        <v>5.11</v>
      </c>
      <c r="E4" s="12">
        <v>84.2</v>
      </c>
      <c r="F4" s="12">
        <v>95.7</v>
      </c>
      <c r="G4" s="9">
        <v>25090001</v>
      </c>
    </row>
    <row r="5" ht="16.5" spans="1:7">
      <c r="A5" s="54" t="s">
        <v>2626</v>
      </c>
      <c r="B5" s="9">
        <v>240.4</v>
      </c>
      <c r="C5" s="10">
        <v>271.1</v>
      </c>
      <c r="D5" s="11">
        <v>5.05</v>
      </c>
      <c r="E5" s="12">
        <v>84.1</v>
      </c>
      <c r="F5" s="12">
        <v>95.6</v>
      </c>
      <c r="G5" s="9">
        <v>25090002</v>
      </c>
    </row>
    <row r="6" ht="16.5" spans="1:7">
      <c r="A6" s="54" t="s">
        <v>2627</v>
      </c>
      <c r="B6" s="9">
        <v>201.4</v>
      </c>
      <c r="C6" s="10">
        <v>255.7</v>
      </c>
      <c r="D6" s="11">
        <v>5.27</v>
      </c>
      <c r="E6" s="12">
        <v>81.8</v>
      </c>
      <c r="F6" s="12">
        <v>93.9</v>
      </c>
      <c r="G6" s="9">
        <v>25100064</v>
      </c>
    </row>
    <row r="7" ht="16.5" spans="1:7">
      <c r="A7" s="54" t="s">
        <v>2628</v>
      </c>
      <c r="B7" s="9">
        <v>198.4</v>
      </c>
      <c r="C7" s="10">
        <v>289.2</v>
      </c>
      <c r="D7" s="11">
        <v>4.94</v>
      </c>
      <c r="E7" s="12">
        <v>93.9</v>
      </c>
      <c r="F7" s="12">
        <v>98.5</v>
      </c>
      <c r="G7" s="9">
        <v>24090112</v>
      </c>
    </row>
    <row r="8" ht="16.5" spans="1:7">
      <c r="A8" s="54" t="s">
        <v>2629</v>
      </c>
      <c r="B8" s="9">
        <v>525</v>
      </c>
      <c r="C8" s="10">
        <v>273.5</v>
      </c>
      <c r="D8" s="11">
        <v>5.05</v>
      </c>
      <c r="E8" s="12">
        <v>95.7</v>
      </c>
      <c r="F8" s="12">
        <v>99.1</v>
      </c>
      <c r="G8" s="9">
        <v>24090094</v>
      </c>
    </row>
    <row r="9" ht="16.5" spans="1:7">
      <c r="A9" s="39" t="s">
        <v>2630</v>
      </c>
      <c r="B9" s="9">
        <v>863.2</v>
      </c>
      <c r="C9" s="10">
        <v>105.4</v>
      </c>
      <c r="D9" s="11">
        <v>2.74</v>
      </c>
      <c r="E9" s="12">
        <v>79.4</v>
      </c>
      <c r="F9" s="12">
        <v>95.6</v>
      </c>
      <c r="G9" s="9">
        <v>25070072</v>
      </c>
    </row>
    <row r="10" ht="16.5" spans="1:7">
      <c r="A10" s="54" t="s">
        <v>2631</v>
      </c>
      <c r="B10" s="9">
        <v>353</v>
      </c>
      <c r="C10" s="10">
        <v>224.4</v>
      </c>
      <c r="D10" s="11">
        <v>6</v>
      </c>
      <c r="E10" s="12">
        <v>78.1</v>
      </c>
      <c r="F10" s="12">
        <v>90.3</v>
      </c>
      <c r="G10" s="9">
        <v>24090102</v>
      </c>
    </row>
    <row r="11" ht="16.5" spans="1:7">
      <c r="A11" s="54" t="s">
        <v>2632</v>
      </c>
      <c r="B11" s="9">
        <v>244.2</v>
      </c>
      <c r="C11" s="10">
        <v>223.7</v>
      </c>
      <c r="D11" s="11">
        <v>6</v>
      </c>
      <c r="E11" s="12">
        <v>77.2</v>
      </c>
      <c r="F11" s="12">
        <v>89.9</v>
      </c>
      <c r="G11" s="9">
        <v>24090103</v>
      </c>
    </row>
    <row r="12" ht="16.5" spans="1:7">
      <c r="A12" s="39" t="s">
        <v>2633</v>
      </c>
      <c r="B12" s="9">
        <v>507</v>
      </c>
      <c r="C12" s="10">
        <v>271.3</v>
      </c>
      <c r="D12" s="11">
        <v>4.52</v>
      </c>
      <c r="E12" s="12">
        <v>91.7</v>
      </c>
      <c r="F12" s="12">
        <v>98.1</v>
      </c>
      <c r="G12" s="9">
        <v>25040513</v>
      </c>
    </row>
    <row r="13" ht="16.5" spans="1:7">
      <c r="A13" s="39" t="s">
        <v>2634</v>
      </c>
      <c r="B13" s="9">
        <v>744.2</v>
      </c>
      <c r="C13" s="10">
        <v>280</v>
      </c>
      <c r="D13" s="11">
        <v>5.16</v>
      </c>
      <c r="E13" s="12">
        <v>90.1</v>
      </c>
      <c r="F13" s="12">
        <v>97.9</v>
      </c>
      <c r="G13" s="9">
        <v>25030061</v>
      </c>
    </row>
    <row r="14" ht="16.5" spans="1:7">
      <c r="A14" s="39" t="s">
        <v>2635</v>
      </c>
      <c r="B14" s="9">
        <v>499.2</v>
      </c>
      <c r="C14" s="10">
        <v>102.7</v>
      </c>
      <c r="D14" s="11">
        <v>2.87</v>
      </c>
      <c r="E14" s="12">
        <v>80.4</v>
      </c>
      <c r="F14" s="12">
        <v>95.7</v>
      </c>
      <c r="G14" s="9">
        <v>25070280</v>
      </c>
    </row>
    <row r="15" ht="16.5" spans="1:7">
      <c r="A15" s="79" t="s">
        <v>2636</v>
      </c>
      <c r="B15" s="9">
        <v>872.6</v>
      </c>
      <c r="C15" s="10">
        <v>228.7</v>
      </c>
      <c r="D15" s="11">
        <v>4.94</v>
      </c>
      <c r="E15" s="12">
        <v>84.4</v>
      </c>
      <c r="F15" s="12">
        <v>96.5</v>
      </c>
      <c r="G15" s="9">
        <v>25060026</v>
      </c>
    </row>
    <row r="16" ht="16.5" spans="1:7">
      <c r="A16" s="54" t="s">
        <v>2637</v>
      </c>
      <c r="B16" s="9">
        <v>694</v>
      </c>
      <c r="C16" s="10">
        <v>255.6</v>
      </c>
      <c r="D16" s="11">
        <v>5.63</v>
      </c>
      <c r="E16" s="12">
        <v>63.9</v>
      </c>
      <c r="F16" s="12">
        <v>84.3</v>
      </c>
      <c r="G16" s="9">
        <v>25100051</v>
      </c>
    </row>
    <row r="17" ht="16.5" spans="1:7">
      <c r="A17" s="54" t="s">
        <v>2638</v>
      </c>
      <c r="B17" s="9">
        <v>674.8</v>
      </c>
      <c r="C17" s="10">
        <v>280.9</v>
      </c>
      <c r="D17" s="11">
        <v>4.94</v>
      </c>
      <c r="E17" s="12">
        <v>81.8</v>
      </c>
      <c r="F17" s="12">
        <v>94</v>
      </c>
      <c r="G17" s="9">
        <v>25100031</v>
      </c>
    </row>
    <row r="18" ht="16.5" spans="1:7">
      <c r="A18" s="110" t="s">
        <v>2639</v>
      </c>
      <c r="B18" s="9">
        <v>495.4</v>
      </c>
      <c r="C18" s="10">
        <v>260.3</v>
      </c>
      <c r="D18" s="11">
        <v>4.63</v>
      </c>
      <c r="E18" s="12">
        <v>89.8</v>
      </c>
      <c r="F18" s="12">
        <v>97.8</v>
      </c>
      <c r="G18" s="9">
        <v>25040428</v>
      </c>
    </row>
    <row r="19" ht="16.5" spans="1:7">
      <c r="A19" s="54" t="s">
        <v>2640</v>
      </c>
      <c r="B19" s="9">
        <v>431.8</v>
      </c>
      <c r="C19" s="10">
        <v>200</v>
      </c>
      <c r="D19" s="11">
        <v>5.46</v>
      </c>
      <c r="E19" s="12">
        <v>77.5</v>
      </c>
      <c r="F19" s="12">
        <v>90.9</v>
      </c>
      <c r="G19" s="9">
        <v>24090079</v>
      </c>
    </row>
    <row r="20" ht="16.5" spans="1:7">
      <c r="A20" s="54" t="s">
        <v>2641</v>
      </c>
      <c r="B20" s="9">
        <v>360.2</v>
      </c>
      <c r="C20" s="10">
        <v>229.3</v>
      </c>
      <c r="D20" s="11">
        <v>5.6</v>
      </c>
      <c r="E20" s="12">
        <v>84.6</v>
      </c>
      <c r="F20" s="12">
        <v>94.3</v>
      </c>
      <c r="G20" s="9">
        <v>24090077</v>
      </c>
    </row>
    <row r="21" ht="16.5" spans="1:7">
      <c r="A21" s="54" t="s">
        <v>2642</v>
      </c>
      <c r="B21" s="9">
        <v>489.2</v>
      </c>
      <c r="C21" s="10">
        <v>268.127</v>
      </c>
      <c r="D21" s="11">
        <v>5.24</v>
      </c>
      <c r="E21" s="12">
        <v>77.8</v>
      </c>
      <c r="F21" s="12">
        <v>91.9</v>
      </c>
      <c r="G21" s="9">
        <v>25100033</v>
      </c>
    </row>
    <row r="22" ht="16.5" spans="1:7">
      <c r="A22" s="54" t="s">
        <v>2643</v>
      </c>
      <c r="B22" s="9">
        <v>211.4</v>
      </c>
      <c r="C22" s="10">
        <v>270</v>
      </c>
      <c r="D22" s="11">
        <v>5.63</v>
      </c>
      <c r="E22" s="12">
        <v>73.8</v>
      </c>
      <c r="F22" s="12">
        <v>89.9</v>
      </c>
      <c r="G22" s="9">
        <v>25100034</v>
      </c>
    </row>
    <row r="23" ht="16.5" spans="1:7">
      <c r="A23" s="54" t="s">
        <v>2644</v>
      </c>
      <c r="B23" s="9">
        <v>565.2</v>
      </c>
      <c r="C23" s="10">
        <v>255.3</v>
      </c>
      <c r="D23" s="11">
        <v>5.63</v>
      </c>
      <c r="E23" s="12">
        <v>73.2</v>
      </c>
      <c r="F23" s="12">
        <v>89.6</v>
      </c>
      <c r="G23" s="9">
        <v>25100036</v>
      </c>
    </row>
  </sheetData>
  <conditionalFormatting sqref="A9">
    <cfRule type="duplicateValues" dxfId="0" priority="7"/>
  </conditionalFormatting>
  <conditionalFormatting sqref="A14">
    <cfRule type="duplicateValues" dxfId="0" priority="5"/>
  </conditionalFormatting>
  <conditionalFormatting sqref="A15">
    <cfRule type="duplicateValues" dxfId="0" priority="4"/>
  </conditionalFormatting>
  <conditionalFormatting sqref="A20">
    <cfRule type="duplicateValues" dxfId="0" priority="2"/>
  </conditionalFormatting>
  <conditionalFormatting sqref="A1:A2">
    <cfRule type="duplicateValues" dxfId="0" priority="9"/>
  </conditionalFormatting>
  <conditionalFormatting sqref="A3:A8">
    <cfRule type="duplicateValues" dxfId="0" priority="8"/>
  </conditionalFormatting>
  <conditionalFormatting sqref="A10:A11">
    <cfRule type="duplicateValues" dxfId="0" priority="6"/>
  </conditionalFormatting>
  <conditionalFormatting sqref="A16:A17">
    <cfRule type="duplicateValues" dxfId="0" priority="3"/>
  </conditionalFormatting>
  <conditionalFormatting sqref="A21:A23">
    <cfRule type="duplicateValues" dxfId="0" priority="1"/>
  </conditionalFormatting>
  <dataValidations count="1">
    <dataValidation allowBlank="1" showInputMessage="1" showErrorMessage="1" sqref="B3:C23"/>
  </dataValidations>
  <pageMargins left="0.75" right="0.75" top="1" bottom="1" header="0.5" footer="0.5"/>
  <pageSetup paperSize="9" orientation="portrait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1013</v>
      </c>
      <c r="B1" s="61">
        <f>SUM(B3:B30)</f>
        <v>10078.4</v>
      </c>
      <c r="C1" s="3" cm="1">
        <f t="array" ref="C1">SUMPRODUCT(C3:C30*B3:B30)/B1</f>
        <v>210.034289172885</v>
      </c>
      <c r="D1" s="4" cm="1">
        <f t="array" ref="D1">SUMPRODUCT(B3:B30*D3:D30)/B1</f>
        <v>4.89924253849817</v>
      </c>
      <c r="E1" s="3" cm="1">
        <f t="array" ref="E1">SUMPRODUCT(B3:B30*E3:E30)/B1</f>
        <v>79.0988609303064</v>
      </c>
      <c r="F1" s="3" cm="1">
        <f t="array" ref="F1">SUMPRODUCT(B3:B30*F3:F30)/B1</f>
        <v>92.914716621686</v>
      </c>
    </row>
    <row r="2" ht="16.5" spans="1:7">
      <c r="A2" s="5">
        <v>180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68" t="s">
        <v>2504</v>
      </c>
      <c r="B3" s="56">
        <v>455</v>
      </c>
      <c r="C3" s="12">
        <v>209.9</v>
      </c>
      <c r="D3" s="57">
        <v>4.94</v>
      </c>
      <c r="E3" s="12">
        <v>64.1</v>
      </c>
      <c r="F3" s="12">
        <v>84.8</v>
      </c>
      <c r="G3" s="56">
        <v>25100053</v>
      </c>
    </row>
    <row r="4" ht="16.5" spans="1:7">
      <c r="A4" s="68" t="s">
        <v>2645</v>
      </c>
      <c r="B4" s="56">
        <v>261.2</v>
      </c>
      <c r="C4" s="12">
        <v>219.7</v>
      </c>
      <c r="D4" s="57">
        <v>4.55</v>
      </c>
      <c r="E4" s="12">
        <v>78.8</v>
      </c>
      <c r="F4" s="12">
        <v>91</v>
      </c>
      <c r="G4" s="56">
        <v>24090013</v>
      </c>
    </row>
    <row r="5" ht="16.5" spans="1:7">
      <c r="A5" s="68" t="s">
        <v>2450</v>
      </c>
      <c r="B5" s="56">
        <v>350</v>
      </c>
      <c r="C5" s="12">
        <v>228.4</v>
      </c>
      <c r="D5" s="57">
        <v>5.9</v>
      </c>
      <c r="E5" s="12">
        <v>78.8</v>
      </c>
      <c r="F5" s="12">
        <v>93.4</v>
      </c>
      <c r="G5" s="56">
        <v>25030068</v>
      </c>
    </row>
    <row r="6" ht="16.5" spans="1:7">
      <c r="A6" s="68" t="s">
        <v>2407</v>
      </c>
      <c r="B6" s="56">
        <v>305.4</v>
      </c>
      <c r="C6" s="12">
        <v>215.3</v>
      </c>
      <c r="D6" s="57">
        <v>4.82</v>
      </c>
      <c r="E6" s="12">
        <v>84.4</v>
      </c>
      <c r="F6" s="12">
        <v>96.4</v>
      </c>
      <c r="G6" s="56">
        <v>25040023</v>
      </c>
    </row>
    <row r="7" ht="16.5" spans="1:7">
      <c r="A7" s="68" t="s">
        <v>2448</v>
      </c>
      <c r="B7" s="56">
        <v>353.2</v>
      </c>
      <c r="C7" s="12">
        <v>213.7</v>
      </c>
      <c r="D7" s="57">
        <v>5.81</v>
      </c>
      <c r="E7" s="12">
        <v>78.2</v>
      </c>
      <c r="F7" s="12">
        <v>93.4</v>
      </c>
      <c r="G7" s="56">
        <v>24040521</v>
      </c>
    </row>
    <row r="8" ht="16.5" spans="1:7">
      <c r="A8" s="68" t="s">
        <v>2646</v>
      </c>
      <c r="B8" s="56">
        <v>538.4</v>
      </c>
      <c r="C8" s="12">
        <v>215.3</v>
      </c>
      <c r="D8" s="57">
        <v>5.35</v>
      </c>
      <c r="E8" s="12">
        <v>80.7</v>
      </c>
      <c r="F8" s="12">
        <v>91.7</v>
      </c>
      <c r="G8" s="56">
        <v>24090052</v>
      </c>
    </row>
    <row r="9" ht="16.5" spans="1:7">
      <c r="A9" s="68" t="s">
        <v>2647</v>
      </c>
      <c r="B9" s="56">
        <v>581.6</v>
      </c>
      <c r="C9" s="12">
        <v>164.2</v>
      </c>
      <c r="D9" s="57">
        <v>3.12</v>
      </c>
      <c r="E9" s="12">
        <v>79.3</v>
      </c>
      <c r="F9" s="12">
        <v>93</v>
      </c>
      <c r="G9" s="56">
        <v>25100193</v>
      </c>
    </row>
    <row r="10" ht="16.5" spans="1:7">
      <c r="A10" s="68" t="s">
        <v>2648</v>
      </c>
      <c r="B10" s="56">
        <v>554.4</v>
      </c>
      <c r="C10" s="12">
        <v>237.7</v>
      </c>
      <c r="D10" s="57">
        <v>5.33</v>
      </c>
      <c r="E10" s="12">
        <v>74.7</v>
      </c>
      <c r="F10" s="12">
        <v>89.8</v>
      </c>
      <c r="G10" s="56">
        <v>25100171</v>
      </c>
    </row>
    <row r="11" ht="16.5" spans="1:7">
      <c r="A11" s="68" t="s">
        <v>2649</v>
      </c>
      <c r="B11" s="56">
        <v>228</v>
      </c>
      <c r="C11" s="12">
        <v>170.8</v>
      </c>
      <c r="D11" s="57">
        <v>3.99</v>
      </c>
      <c r="E11" s="12">
        <v>72.6</v>
      </c>
      <c r="F11" s="12">
        <v>89.2</v>
      </c>
      <c r="G11" s="56">
        <v>25100088</v>
      </c>
    </row>
    <row r="12" ht="16.5" spans="1:7">
      <c r="A12" s="68" t="s">
        <v>2650</v>
      </c>
      <c r="B12" s="56">
        <v>385.4</v>
      </c>
      <c r="C12" s="12">
        <v>233.4</v>
      </c>
      <c r="D12" s="57">
        <v>5.63</v>
      </c>
      <c r="E12" s="12">
        <v>74.2</v>
      </c>
      <c r="F12" s="12">
        <v>89.7</v>
      </c>
      <c r="G12" s="56">
        <v>25100173</v>
      </c>
    </row>
    <row r="13" ht="16.5" spans="1:7">
      <c r="A13" s="68" t="s">
        <v>2651</v>
      </c>
      <c r="B13" s="56">
        <v>660.6</v>
      </c>
      <c r="C13" s="12">
        <v>171.8</v>
      </c>
      <c r="D13" s="57">
        <v>3.99</v>
      </c>
      <c r="E13" s="12">
        <v>72.4</v>
      </c>
      <c r="F13" s="12">
        <v>89.1</v>
      </c>
      <c r="G13" s="56">
        <v>25100087</v>
      </c>
    </row>
    <row r="14" ht="16.5" spans="1:7">
      <c r="A14" s="68" t="s">
        <v>2652</v>
      </c>
      <c r="B14" s="56">
        <v>492</v>
      </c>
      <c r="C14" s="12">
        <v>217.9</v>
      </c>
      <c r="D14" s="57">
        <v>5.63</v>
      </c>
      <c r="E14" s="12">
        <v>83.4</v>
      </c>
      <c r="F14" s="12">
        <v>95.8</v>
      </c>
      <c r="G14" s="56">
        <v>25020104</v>
      </c>
    </row>
    <row r="15" ht="16.5" spans="1:7">
      <c r="A15" s="68" t="s">
        <v>2653</v>
      </c>
      <c r="B15" s="56">
        <v>464.8</v>
      </c>
      <c r="C15" s="12">
        <v>155</v>
      </c>
      <c r="D15" s="57">
        <v>3.49</v>
      </c>
      <c r="E15" s="12">
        <v>82</v>
      </c>
      <c r="F15" s="12">
        <v>95.3</v>
      </c>
      <c r="G15" s="56">
        <v>25100055</v>
      </c>
    </row>
    <row r="16" ht="16.5" spans="1:7">
      <c r="A16" s="68" t="s">
        <v>2654</v>
      </c>
      <c r="B16" s="56">
        <v>357.2</v>
      </c>
      <c r="C16" s="12">
        <v>257.4</v>
      </c>
      <c r="D16" s="57">
        <v>5.73</v>
      </c>
      <c r="E16" s="12">
        <v>90.1</v>
      </c>
      <c r="F16" s="12">
        <v>98.4</v>
      </c>
      <c r="G16" s="56">
        <v>25020214</v>
      </c>
    </row>
    <row r="17" ht="16.5" spans="1:7">
      <c r="A17" s="68" t="s">
        <v>2655</v>
      </c>
      <c r="B17" s="56">
        <v>298.6</v>
      </c>
      <c r="C17" s="12">
        <v>252</v>
      </c>
      <c r="D17" s="57">
        <v>5.95</v>
      </c>
      <c r="E17" s="12">
        <v>87.1</v>
      </c>
      <c r="F17" s="12">
        <v>97.2</v>
      </c>
      <c r="G17" s="56">
        <v>25020389</v>
      </c>
    </row>
    <row r="18" ht="16.5" spans="1:7">
      <c r="A18" s="68" t="s">
        <v>2656</v>
      </c>
      <c r="B18" s="56">
        <v>474.6</v>
      </c>
      <c r="C18" s="12">
        <v>151.2</v>
      </c>
      <c r="D18" s="57">
        <v>3.28</v>
      </c>
      <c r="E18" s="12">
        <v>83.2</v>
      </c>
      <c r="F18" s="12">
        <v>95.6</v>
      </c>
      <c r="G18" s="56">
        <v>25100056</v>
      </c>
    </row>
    <row r="19" ht="16.5" spans="1:7">
      <c r="A19" s="68" t="s">
        <v>2657</v>
      </c>
      <c r="B19" s="56">
        <v>325.4</v>
      </c>
      <c r="C19" s="12">
        <v>259.1</v>
      </c>
      <c r="D19" s="57">
        <v>5.73</v>
      </c>
      <c r="E19" s="12">
        <v>85.4</v>
      </c>
      <c r="F19" s="12">
        <v>96.3</v>
      </c>
      <c r="G19" s="56">
        <v>25030302</v>
      </c>
    </row>
    <row r="20" ht="16.5" spans="1:7">
      <c r="A20" s="68" t="s">
        <v>2658</v>
      </c>
      <c r="B20" s="56">
        <v>504.6</v>
      </c>
      <c r="C20" s="12">
        <v>250.7</v>
      </c>
      <c r="D20" s="57">
        <v>5.87</v>
      </c>
      <c r="E20" s="12">
        <v>88.7</v>
      </c>
      <c r="F20" s="12">
        <v>98</v>
      </c>
      <c r="G20" s="56">
        <v>25010389</v>
      </c>
    </row>
    <row r="21" ht="16.5" spans="1:7">
      <c r="A21" s="68" t="s">
        <v>2659</v>
      </c>
      <c r="B21" s="56">
        <v>569.2</v>
      </c>
      <c r="C21" s="12">
        <v>160.6</v>
      </c>
      <c r="D21" s="57">
        <v>3.43</v>
      </c>
      <c r="E21" s="12">
        <v>76.7</v>
      </c>
      <c r="F21" s="12">
        <v>91.7</v>
      </c>
      <c r="G21" s="56">
        <v>25100011</v>
      </c>
    </row>
    <row r="22" ht="16.5" spans="1:7">
      <c r="A22" s="68" t="s">
        <v>2660</v>
      </c>
      <c r="B22" s="56">
        <v>492.4</v>
      </c>
      <c r="C22" s="12">
        <v>255.6</v>
      </c>
      <c r="D22" s="57">
        <v>5.76</v>
      </c>
      <c r="E22" s="12">
        <v>85.5</v>
      </c>
      <c r="F22" s="12">
        <v>98.4</v>
      </c>
      <c r="G22" s="56">
        <v>25030012</v>
      </c>
    </row>
    <row r="23" ht="16.5" spans="1:7">
      <c r="A23" s="68" t="s">
        <v>2661</v>
      </c>
      <c r="B23" s="56">
        <v>476.2</v>
      </c>
      <c r="C23" s="12">
        <v>172.1</v>
      </c>
      <c r="D23" s="57">
        <v>4.55</v>
      </c>
      <c r="E23" s="12">
        <v>73.5</v>
      </c>
      <c r="F23" s="12">
        <v>91.8</v>
      </c>
      <c r="G23" s="56">
        <v>25070292</v>
      </c>
    </row>
    <row r="24" ht="16.5" spans="1:7">
      <c r="A24" s="68" t="s">
        <v>2382</v>
      </c>
      <c r="B24" s="56">
        <v>457</v>
      </c>
      <c r="C24" s="12">
        <v>251.2</v>
      </c>
      <c r="D24" s="57">
        <v>5.81</v>
      </c>
      <c r="E24" s="12">
        <v>78.4</v>
      </c>
      <c r="F24" s="12">
        <v>91.1</v>
      </c>
      <c r="G24" s="56">
        <v>24060334</v>
      </c>
    </row>
    <row r="25" ht="16.5" spans="1:7">
      <c r="A25" s="68" t="s">
        <v>2662</v>
      </c>
      <c r="B25" s="56">
        <v>493.2</v>
      </c>
      <c r="C25" s="12">
        <v>231.4</v>
      </c>
      <c r="D25" s="57">
        <v>5.63</v>
      </c>
      <c r="E25" s="12">
        <v>74.1</v>
      </c>
      <c r="F25" s="12">
        <v>89.6</v>
      </c>
      <c r="G25" s="56">
        <v>25100172</v>
      </c>
    </row>
  </sheetData>
  <conditionalFormatting sqref="A1:A25">
    <cfRule type="duplicateValues" dxfId="0" priority="1"/>
  </conditionalFormatting>
  <dataValidations count="1">
    <dataValidation allowBlank="1" showInputMessage="1" showErrorMessage="1" sqref="C19 B3:C18 B20:C25"/>
  </dataValidations>
  <pageMargins left="0.75" right="0.75" top="1" bottom="1" header="0.5" footer="0.5"/>
  <pageSetup paperSize="9" orientation="portrait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1014</v>
      </c>
      <c r="B1" s="61">
        <f>SUM(B3:B30)</f>
        <v>10134</v>
      </c>
      <c r="C1" s="3" cm="1">
        <f t="array" ref="C1">SUMPRODUCT(C3:C30*B3:B30)/B1</f>
        <v>231.423824748372</v>
      </c>
      <c r="D1" s="4" cm="1">
        <f t="array" ref="D1">SUMPRODUCT(B3:B30*D3:D30)/B1</f>
        <v>4.88802782711664</v>
      </c>
      <c r="E1" s="3" cm="1">
        <f t="array" ref="E1">SUMPRODUCT(B3:B30*E3:E30)/B1</f>
        <v>83.190744029998</v>
      </c>
      <c r="F1" s="3" cm="1">
        <f t="array" ref="F1">SUMPRODUCT(B3:B30*F3:F30)/B1</f>
        <v>94.4320505229919</v>
      </c>
    </row>
    <row r="2" ht="16.5" spans="1:7">
      <c r="A2" s="5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69" t="s">
        <v>2663</v>
      </c>
      <c r="B3" s="24">
        <v>268.6</v>
      </c>
      <c r="C3" s="28">
        <v>226.9</v>
      </c>
      <c r="D3" s="25">
        <v>4.63</v>
      </c>
      <c r="E3" s="29">
        <v>84.5</v>
      </c>
      <c r="F3" s="29">
        <v>93.9</v>
      </c>
      <c r="G3" s="24">
        <v>24090017</v>
      </c>
    </row>
    <row r="4" ht="16.5" spans="1:7">
      <c r="A4" s="30" t="s">
        <v>2664</v>
      </c>
      <c r="B4" s="24">
        <v>516.2</v>
      </c>
      <c r="C4" s="28">
        <v>274.7</v>
      </c>
      <c r="D4" s="25">
        <v>5.66</v>
      </c>
      <c r="E4" s="29">
        <v>87.5</v>
      </c>
      <c r="F4" s="29">
        <v>97.5</v>
      </c>
      <c r="G4" s="24">
        <v>25010013</v>
      </c>
    </row>
    <row r="5" ht="16.5" spans="1:7">
      <c r="A5" s="30" t="s">
        <v>2665</v>
      </c>
      <c r="B5" s="24">
        <v>516.4</v>
      </c>
      <c r="C5" s="28">
        <v>260.9</v>
      </c>
      <c r="D5" s="25">
        <v>5.3</v>
      </c>
      <c r="E5" s="29">
        <v>86.1</v>
      </c>
      <c r="F5" s="29">
        <v>96.3</v>
      </c>
      <c r="G5" s="24">
        <v>25010351</v>
      </c>
    </row>
    <row r="6" ht="16.5" spans="1:7">
      <c r="A6" s="30" t="s">
        <v>2666</v>
      </c>
      <c r="B6" s="24">
        <v>306.2</v>
      </c>
      <c r="C6" s="28">
        <v>256.3</v>
      </c>
      <c r="D6" s="25">
        <v>5.02</v>
      </c>
      <c r="E6" s="29">
        <v>91.4</v>
      </c>
      <c r="F6" s="29">
        <v>98.8</v>
      </c>
      <c r="G6" s="24">
        <v>25010385</v>
      </c>
    </row>
    <row r="7" ht="16.5" spans="1:7">
      <c r="A7" s="30" t="s">
        <v>2667</v>
      </c>
      <c r="B7" s="24">
        <v>361</v>
      </c>
      <c r="C7" s="28">
        <v>255.9</v>
      </c>
      <c r="D7" s="25">
        <v>5.57</v>
      </c>
      <c r="E7" s="29">
        <v>86.3</v>
      </c>
      <c r="F7" s="29">
        <v>96.4</v>
      </c>
      <c r="G7" s="24">
        <v>25010493</v>
      </c>
    </row>
    <row r="8" ht="16.5" spans="1:7">
      <c r="A8" s="30" t="s">
        <v>2668</v>
      </c>
      <c r="B8" s="24">
        <v>317.6</v>
      </c>
      <c r="C8" s="28">
        <v>269.7</v>
      </c>
      <c r="D8" s="25">
        <v>5.87</v>
      </c>
      <c r="E8" s="29">
        <v>89.9</v>
      </c>
      <c r="F8" s="29">
        <v>98.3</v>
      </c>
      <c r="G8" s="24">
        <v>25020215</v>
      </c>
    </row>
    <row r="9" ht="16.5" spans="1:7">
      <c r="A9" s="30" t="s">
        <v>2669</v>
      </c>
      <c r="B9" s="24">
        <v>508.4</v>
      </c>
      <c r="C9" s="28">
        <v>250.8</v>
      </c>
      <c r="D9" s="25">
        <v>5.19</v>
      </c>
      <c r="E9" s="29">
        <v>86.2</v>
      </c>
      <c r="F9" s="29">
        <v>96.4</v>
      </c>
      <c r="G9" s="24">
        <v>25020329</v>
      </c>
    </row>
    <row r="10" ht="16.5" spans="1:7">
      <c r="A10" s="30" t="s">
        <v>2670</v>
      </c>
      <c r="B10" s="24">
        <v>502</v>
      </c>
      <c r="C10" s="28">
        <v>259.2</v>
      </c>
      <c r="D10" s="25">
        <v>5.35</v>
      </c>
      <c r="E10" s="29">
        <v>85.4</v>
      </c>
      <c r="F10" s="29">
        <v>96.5</v>
      </c>
      <c r="G10" s="24">
        <v>25030281</v>
      </c>
    </row>
    <row r="11" ht="16.5" spans="1:7">
      <c r="A11" s="30" t="s">
        <v>2671</v>
      </c>
      <c r="B11" s="24">
        <v>505.4</v>
      </c>
      <c r="C11" s="28">
        <v>258.1</v>
      </c>
      <c r="D11" s="25">
        <v>5.81</v>
      </c>
      <c r="E11" s="29">
        <v>84.9</v>
      </c>
      <c r="F11" s="29">
        <v>96.1</v>
      </c>
      <c r="G11" s="24">
        <v>25030301</v>
      </c>
    </row>
    <row r="12" ht="16.5" spans="1:7">
      <c r="A12" s="30" t="s">
        <v>2672</v>
      </c>
      <c r="B12" s="24">
        <v>452</v>
      </c>
      <c r="C12" s="28">
        <v>226.6</v>
      </c>
      <c r="D12" s="25">
        <v>4.34</v>
      </c>
      <c r="E12" s="29">
        <v>91.1</v>
      </c>
      <c r="F12" s="29">
        <v>99.6</v>
      </c>
      <c r="G12" s="24">
        <v>25050033</v>
      </c>
    </row>
    <row r="13" ht="16.5" spans="1:7">
      <c r="A13" s="30" t="s">
        <v>2673</v>
      </c>
      <c r="B13" s="24">
        <v>341.2</v>
      </c>
      <c r="C13" s="28">
        <v>233</v>
      </c>
      <c r="D13" s="25">
        <v>4.46</v>
      </c>
      <c r="E13" s="29">
        <v>89.3</v>
      </c>
      <c r="F13" s="29">
        <v>98.4</v>
      </c>
      <c r="G13" s="24">
        <v>25050077</v>
      </c>
    </row>
    <row r="14" ht="16.5" spans="1:7">
      <c r="A14" s="31" t="s">
        <v>2674</v>
      </c>
      <c r="B14" s="24">
        <v>704.4</v>
      </c>
      <c r="C14" s="28">
        <v>172.3</v>
      </c>
      <c r="D14" s="25">
        <v>4.43</v>
      </c>
      <c r="E14" s="29">
        <v>92.2</v>
      </c>
      <c r="F14" s="29">
        <v>96.4</v>
      </c>
      <c r="G14" s="24">
        <v>25060081</v>
      </c>
    </row>
    <row r="15" ht="16.5" spans="1:7">
      <c r="A15" s="69" t="s">
        <v>2675</v>
      </c>
      <c r="B15" s="24">
        <v>637.8</v>
      </c>
      <c r="C15" s="28">
        <v>252.2</v>
      </c>
      <c r="D15" s="25">
        <v>5.55</v>
      </c>
      <c r="E15" s="29">
        <v>71.5</v>
      </c>
      <c r="F15" s="29">
        <v>88.6</v>
      </c>
      <c r="G15" s="24">
        <v>25100021</v>
      </c>
    </row>
    <row r="16" ht="16.5" spans="1:7">
      <c r="A16" s="69" t="s">
        <v>2676</v>
      </c>
      <c r="B16" s="24">
        <v>425.2</v>
      </c>
      <c r="C16" s="28">
        <v>256.5</v>
      </c>
      <c r="D16" s="25">
        <v>5.63</v>
      </c>
      <c r="E16" s="29">
        <v>73.6</v>
      </c>
      <c r="F16" s="29">
        <v>89.8</v>
      </c>
      <c r="G16" s="24">
        <v>25100035</v>
      </c>
    </row>
    <row r="17" ht="16.5" spans="1:7">
      <c r="A17" s="30" t="s">
        <v>2677</v>
      </c>
      <c r="B17" s="24">
        <v>524.6</v>
      </c>
      <c r="C17" s="28">
        <v>166.8</v>
      </c>
      <c r="D17" s="25">
        <v>3.91</v>
      </c>
      <c r="E17" s="29">
        <v>73.3</v>
      </c>
      <c r="F17" s="29">
        <v>89.8</v>
      </c>
      <c r="G17" s="24">
        <v>25100089</v>
      </c>
    </row>
    <row r="18" ht="16.5" spans="1:7">
      <c r="A18" s="30" t="s">
        <v>2678</v>
      </c>
      <c r="B18" s="24">
        <v>698</v>
      </c>
      <c r="C18" s="28">
        <v>200.9</v>
      </c>
      <c r="D18" s="25">
        <v>4.29</v>
      </c>
      <c r="E18" s="29">
        <v>77.1</v>
      </c>
      <c r="F18" s="29">
        <v>91.9</v>
      </c>
      <c r="G18" s="24">
        <v>25100102</v>
      </c>
    </row>
    <row r="19" ht="16.5" spans="1:7">
      <c r="A19" s="30" t="s">
        <v>2679</v>
      </c>
      <c r="B19" s="24">
        <v>334</v>
      </c>
      <c r="C19" s="28">
        <v>227.3</v>
      </c>
      <c r="D19" s="25">
        <v>4.46</v>
      </c>
      <c r="E19" s="29">
        <v>82.4</v>
      </c>
      <c r="F19" s="29">
        <v>93.9</v>
      </c>
      <c r="G19" s="24">
        <v>25100114</v>
      </c>
    </row>
    <row r="20" ht="16.5" spans="1:7">
      <c r="A20" s="30" t="s">
        <v>2680</v>
      </c>
      <c r="B20" s="24">
        <v>332.8</v>
      </c>
      <c r="C20" s="28">
        <v>151.5</v>
      </c>
      <c r="D20" s="25">
        <v>3.58</v>
      </c>
      <c r="E20" s="29">
        <v>66.6</v>
      </c>
      <c r="F20" s="29">
        <v>85.4</v>
      </c>
      <c r="G20" s="24">
        <v>25100153</v>
      </c>
    </row>
    <row r="21" ht="16.5" spans="1:7">
      <c r="A21" s="30" t="s">
        <v>2681</v>
      </c>
      <c r="B21" s="24">
        <v>554.8</v>
      </c>
      <c r="C21" s="28">
        <v>246.5</v>
      </c>
      <c r="D21" s="25">
        <v>4.82</v>
      </c>
      <c r="E21" s="29">
        <v>75.8</v>
      </c>
      <c r="F21" s="29">
        <v>89.9</v>
      </c>
      <c r="G21" s="24">
        <v>25100170</v>
      </c>
    </row>
    <row r="22" ht="16.5" spans="1:7">
      <c r="A22" s="30" t="s">
        <v>2682</v>
      </c>
      <c r="B22" s="24">
        <v>585.4</v>
      </c>
      <c r="C22" s="28">
        <v>219.5</v>
      </c>
      <c r="D22" s="25">
        <v>4.38</v>
      </c>
      <c r="E22" s="29">
        <v>84.6</v>
      </c>
      <c r="F22" s="29">
        <v>94.5</v>
      </c>
      <c r="G22" s="24">
        <v>25100218</v>
      </c>
    </row>
    <row r="23" ht="16.5" spans="1:7">
      <c r="A23" s="30" t="s">
        <v>2683</v>
      </c>
      <c r="B23" s="24">
        <v>742</v>
      </c>
      <c r="C23" s="28">
        <v>230</v>
      </c>
      <c r="D23" s="25">
        <v>4.66</v>
      </c>
      <c r="E23" s="29">
        <v>89.5</v>
      </c>
      <c r="F23" s="29">
        <v>97</v>
      </c>
      <c r="G23" s="24">
        <v>25100247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4 B6:B10 B12:B23 C4:C23"/>
  </dataValidations>
  <pageMargins left="0.75" right="0.75" top="1" bottom="1" header="0.5" footer="0.5"/>
  <pageSetup paperSize="9" orientation="portrait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workbookViewId="0">
      <selection activeCell="D29" sqref="D29"/>
    </sheetView>
  </sheetViews>
  <sheetFormatPr defaultColWidth="9" defaultRowHeight="13.5"/>
  <cols>
    <col min="1" max="1" width="15.625" customWidth="1"/>
    <col min="2" max="2" width="9.25"/>
    <col min="7" max="7" width="9.375"/>
    <col min="10" max="10" width="15.625" customWidth="1"/>
    <col min="19" max="19" width="15.625" customWidth="1"/>
  </cols>
  <sheetData>
    <row r="1" ht="16.5" spans="1:21">
      <c r="A1" s="1">
        <v>1015</v>
      </c>
      <c r="B1" s="61">
        <f>SUM(B3:B30)</f>
        <v>10072.2</v>
      </c>
      <c r="C1" s="3" cm="1">
        <f t="array" ref="C1">SUMPRODUCT(C3:C30*B3:B30)/B1</f>
        <v>230.468775441314</v>
      </c>
      <c r="D1" s="4" cm="1">
        <f t="array" ref="D1">SUMPRODUCT(B3:B30*D3:D30)/B1</f>
        <v>4.94069716645817</v>
      </c>
      <c r="E1" s="3" cm="1">
        <f t="array" ref="E1">SUMPRODUCT(B3:B30*E3:E30)/B1</f>
        <v>82.3404479656878</v>
      </c>
      <c r="F1" s="3" cm="1">
        <f t="array" ref="F1">SUMPRODUCT(B3:B30*F3:F30)/B1</f>
        <v>94.7778181529358</v>
      </c>
      <c r="S1" s="86" t="s">
        <v>2684</v>
      </c>
      <c r="T1" s="14">
        <v>448</v>
      </c>
      <c r="U1" s="14">
        <v>25100069</v>
      </c>
    </row>
    <row r="2" ht="16.5" spans="1:21">
      <c r="A2" s="5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S2" s="86" t="s">
        <v>2685</v>
      </c>
      <c r="T2" s="14">
        <v>400</v>
      </c>
      <c r="U2" s="14">
        <v>25040459</v>
      </c>
    </row>
    <row r="3" ht="16.5" spans="1:21">
      <c r="A3" s="33" t="s">
        <v>1055</v>
      </c>
      <c r="B3" s="34">
        <v>493.8</v>
      </c>
      <c r="C3" s="35">
        <v>187.9</v>
      </c>
      <c r="D3" s="36">
        <v>3.82</v>
      </c>
      <c r="E3" s="37">
        <v>83.5</v>
      </c>
      <c r="F3" s="37">
        <v>97.4</v>
      </c>
      <c r="G3" s="34">
        <v>24110345</v>
      </c>
      <c r="S3" s="86" t="s">
        <v>2686</v>
      </c>
      <c r="T3" s="14">
        <v>382.4</v>
      </c>
      <c r="U3" s="14">
        <v>25020241</v>
      </c>
    </row>
    <row r="4" ht="16.5" spans="1:21">
      <c r="A4" s="38" t="s">
        <v>2687</v>
      </c>
      <c r="B4" s="34">
        <v>0</v>
      </c>
      <c r="C4" s="35">
        <v>260.5</v>
      </c>
      <c r="D4" s="36">
        <v>5.55</v>
      </c>
      <c r="E4" s="37">
        <v>88.2</v>
      </c>
      <c r="F4" s="37">
        <v>97</v>
      </c>
      <c r="G4" s="94">
        <v>25010045</v>
      </c>
      <c r="S4" s="70"/>
    </row>
    <row r="5" ht="16.5" spans="1:21">
      <c r="A5" s="38" t="s">
        <v>2688</v>
      </c>
      <c r="B5" s="34">
        <v>482.8</v>
      </c>
      <c r="C5" s="35">
        <v>227.9</v>
      </c>
      <c r="D5" s="36">
        <v>6.24</v>
      </c>
      <c r="E5" s="37">
        <v>74.4</v>
      </c>
      <c r="F5" s="37">
        <v>91.1</v>
      </c>
      <c r="G5" s="34">
        <v>25010328</v>
      </c>
    </row>
    <row r="6" ht="16.5" spans="1:21">
      <c r="A6" s="38" t="s">
        <v>2689</v>
      </c>
      <c r="B6" s="34">
        <v>483.8</v>
      </c>
      <c r="C6" s="35">
        <v>258.7</v>
      </c>
      <c r="D6" s="36">
        <v>5.11</v>
      </c>
      <c r="E6" s="37">
        <v>90</v>
      </c>
      <c r="F6" s="37">
        <v>98.1</v>
      </c>
      <c r="G6" s="34">
        <v>25010512</v>
      </c>
    </row>
    <row r="7" ht="16.5" spans="1:21">
      <c r="A7" s="38" t="s">
        <v>2690</v>
      </c>
      <c r="B7" s="34">
        <v>522.4</v>
      </c>
      <c r="C7" s="35">
        <v>257.3</v>
      </c>
      <c r="D7" s="36">
        <v>5.22</v>
      </c>
      <c r="E7" s="37">
        <v>90.2</v>
      </c>
      <c r="F7" s="37">
        <v>98.6</v>
      </c>
      <c r="G7" s="34">
        <v>25020127</v>
      </c>
    </row>
    <row r="8" ht="16.5" spans="1:21">
      <c r="A8" s="38" t="s">
        <v>2691</v>
      </c>
      <c r="B8" s="34">
        <v>545</v>
      </c>
      <c r="C8" s="35">
        <v>253.3</v>
      </c>
      <c r="D8" s="36">
        <v>5.92</v>
      </c>
      <c r="E8" s="37">
        <v>85</v>
      </c>
      <c r="F8" s="37">
        <v>95.8</v>
      </c>
      <c r="G8" s="34">
        <v>25020242</v>
      </c>
      <c r="S8" s="23" t="s">
        <v>2692</v>
      </c>
      <c r="T8" s="14">
        <v>747.2</v>
      </c>
      <c r="U8" s="14">
        <v>25080018</v>
      </c>
    </row>
    <row r="9" ht="16.5" spans="1:21">
      <c r="A9" s="38" t="s">
        <v>2693</v>
      </c>
      <c r="B9" s="34">
        <v>529.6</v>
      </c>
      <c r="C9" s="35">
        <v>259.1</v>
      </c>
      <c r="D9" s="36">
        <v>5.73</v>
      </c>
      <c r="E9" s="37">
        <v>85</v>
      </c>
      <c r="F9" s="37">
        <v>96.2</v>
      </c>
      <c r="G9" s="34">
        <v>25030300</v>
      </c>
      <c r="S9" s="23" t="s">
        <v>2694</v>
      </c>
      <c r="T9" s="14">
        <v>765</v>
      </c>
      <c r="U9" s="14">
        <v>25070235</v>
      </c>
    </row>
    <row r="10" ht="16.5" spans="1:21">
      <c r="A10" s="102" t="s">
        <v>2695</v>
      </c>
      <c r="B10" s="34">
        <v>446.8</v>
      </c>
      <c r="C10" s="35">
        <v>198.2</v>
      </c>
      <c r="D10" s="36">
        <v>5.16</v>
      </c>
      <c r="E10" s="37">
        <v>79.4</v>
      </c>
      <c r="F10" s="37">
        <v>94</v>
      </c>
      <c r="G10" s="34">
        <v>25040460</v>
      </c>
    </row>
    <row r="11" ht="16.5" spans="1:21">
      <c r="A11" s="102" t="s">
        <v>2696</v>
      </c>
      <c r="B11" s="34">
        <v>486.2</v>
      </c>
      <c r="C11" s="35">
        <v>225.3</v>
      </c>
      <c r="D11" s="36">
        <v>4.72</v>
      </c>
      <c r="E11" s="37">
        <v>84</v>
      </c>
      <c r="F11" s="37">
        <v>95.8</v>
      </c>
      <c r="G11" s="34">
        <v>25040456</v>
      </c>
    </row>
    <row r="12" ht="16.5" spans="1:21">
      <c r="A12" s="102" t="s">
        <v>2697</v>
      </c>
      <c r="B12" s="34">
        <v>517.4</v>
      </c>
      <c r="C12" s="35">
        <v>214.7</v>
      </c>
      <c r="D12" s="36">
        <v>5.57</v>
      </c>
      <c r="E12" s="37">
        <v>86.6</v>
      </c>
      <c r="F12" s="37">
        <v>96.9</v>
      </c>
      <c r="G12" s="34">
        <v>25040476</v>
      </c>
    </row>
    <row r="13" ht="16.5" spans="1:21">
      <c r="A13" s="102" t="s">
        <v>2698</v>
      </c>
      <c r="B13" s="34">
        <v>527.4</v>
      </c>
      <c r="C13" s="35">
        <v>219</v>
      </c>
      <c r="D13" s="36">
        <v>5.33</v>
      </c>
      <c r="E13" s="37">
        <v>87.2</v>
      </c>
      <c r="F13" s="37">
        <v>97.5</v>
      </c>
      <c r="G13" s="34">
        <v>25040475</v>
      </c>
    </row>
    <row r="14" ht="16.5" spans="1:21">
      <c r="A14" s="42" t="s">
        <v>2699</v>
      </c>
      <c r="B14" s="34">
        <v>0</v>
      </c>
      <c r="C14" s="35">
        <v>175.3</v>
      </c>
      <c r="D14" s="36">
        <v>4.46</v>
      </c>
      <c r="E14" s="37">
        <v>84</v>
      </c>
      <c r="F14" s="37">
        <v>96.7</v>
      </c>
      <c r="G14" s="34">
        <v>25060068</v>
      </c>
    </row>
    <row r="15" ht="16.5" spans="1:21">
      <c r="A15" s="42" t="s">
        <v>2700</v>
      </c>
      <c r="B15" s="34">
        <v>0</v>
      </c>
      <c r="C15" s="35">
        <v>163.9</v>
      </c>
      <c r="D15" s="36">
        <v>4.26</v>
      </c>
      <c r="E15" s="37">
        <v>82.7</v>
      </c>
      <c r="F15" s="37">
        <v>96.7</v>
      </c>
      <c r="G15" s="34">
        <v>25060069</v>
      </c>
    </row>
    <row r="16" ht="16.5" spans="1:21">
      <c r="A16" s="43" t="s">
        <v>2701</v>
      </c>
      <c r="B16" s="34">
        <v>794.6</v>
      </c>
      <c r="C16" s="35">
        <v>170.7</v>
      </c>
      <c r="D16" s="36">
        <v>3.99</v>
      </c>
      <c r="E16" s="37">
        <v>67.4</v>
      </c>
      <c r="F16" s="37">
        <v>87.8</v>
      </c>
      <c r="G16" s="34">
        <v>25070001</v>
      </c>
    </row>
    <row r="17" ht="16.5" spans="1:7">
      <c r="A17" s="38" t="s">
        <v>2702</v>
      </c>
      <c r="B17" s="34">
        <v>570</v>
      </c>
      <c r="C17" s="35">
        <v>235.9</v>
      </c>
      <c r="D17" s="36">
        <v>4.43</v>
      </c>
      <c r="E17" s="37">
        <v>87</v>
      </c>
      <c r="F17" s="37">
        <v>96</v>
      </c>
      <c r="G17" s="34">
        <v>25100198</v>
      </c>
    </row>
    <row r="18" ht="16.5" spans="1:7">
      <c r="A18" s="38" t="s">
        <v>2703</v>
      </c>
      <c r="B18" s="34">
        <v>523</v>
      </c>
      <c r="C18" s="35">
        <v>192.7</v>
      </c>
      <c r="D18" s="36">
        <v>3.77</v>
      </c>
      <c r="E18" s="37">
        <v>78</v>
      </c>
      <c r="F18" s="37">
        <v>91.2</v>
      </c>
      <c r="G18" s="34">
        <v>25100204</v>
      </c>
    </row>
    <row r="19" ht="16.5" spans="1:7">
      <c r="A19" s="18" t="s">
        <v>2684</v>
      </c>
      <c r="B19" s="14">
        <v>448</v>
      </c>
      <c r="C19" s="15">
        <v>237.8</v>
      </c>
      <c r="D19" s="16">
        <v>5.33</v>
      </c>
      <c r="E19" s="17">
        <v>72.4</v>
      </c>
      <c r="F19" s="17">
        <v>89.1</v>
      </c>
      <c r="G19" s="14">
        <v>25100069</v>
      </c>
    </row>
    <row r="20" ht="16.5" spans="1:7">
      <c r="A20" s="103" t="s">
        <v>2685</v>
      </c>
      <c r="B20" s="14">
        <v>400</v>
      </c>
      <c r="C20" s="15">
        <v>220.1</v>
      </c>
      <c r="D20" s="16">
        <v>5.57</v>
      </c>
      <c r="E20" s="17">
        <v>82.4</v>
      </c>
      <c r="F20" s="17">
        <v>95.5</v>
      </c>
      <c r="G20" s="14">
        <v>25040459</v>
      </c>
    </row>
    <row r="21" ht="16.5" spans="1:7">
      <c r="A21" s="23" t="s">
        <v>2686</v>
      </c>
      <c r="B21" s="14">
        <v>382.4</v>
      </c>
      <c r="C21" s="15">
        <v>268.8</v>
      </c>
      <c r="D21" s="16">
        <v>5.63</v>
      </c>
      <c r="E21" s="17">
        <v>88.2</v>
      </c>
      <c r="F21" s="17">
        <v>96.9</v>
      </c>
      <c r="G21" s="14">
        <v>25020241</v>
      </c>
    </row>
    <row r="22" ht="16.5" spans="1:7">
      <c r="A22" s="23" t="s">
        <v>2692</v>
      </c>
      <c r="B22" s="14">
        <v>747.2</v>
      </c>
      <c r="C22" s="15">
        <v>250.6</v>
      </c>
      <c r="D22" s="16">
        <v>4.2</v>
      </c>
      <c r="E22" s="17">
        <v>86.1</v>
      </c>
      <c r="F22" s="17">
        <v>97.1</v>
      </c>
      <c r="G22" s="14">
        <v>25080018</v>
      </c>
    </row>
    <row r="23" ht="16.5" spans="1:7">
      <c r="A23" s="23" t="s">
        <v>2694</v>
      </c>
      <c r="B23" s="14">
        <v>765</v>
      </c>
      <c r="C23" s="15">
        <v>255.7</v>
      </c>
      <c r="D23" s="16">
        <v>4.26</v>
      </c>
      <c r="E23" s="17">
        <v>87.8</v>
      </c>
      <c r="F23" s="17">
        <v>97.8</v>
      </c>
      <c r="G23" s="14">
        <v>25070235</v>
      </c>
    </row>
    <row r="24" ht="16.5" spans="1:7">
      <c r="A24" s="18" t="s">
        <v>2704</v>
      </c>
      <c r="B24" s="14">
        <v>406.8</v>
      </c>
      <c r="C24" s="15">
        <v>265.2</v>
      </c>
      <c r="D24" s="16">
        <v>5.6</v>
      </c>
      <c r="E24" s="17">
        <v>70.1</v>
      </c>
      <c r="F24" s="17">
        <v>87.4</v>
      </c>
      <c r="G24" s="14">
        <v>25100018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5:B8 B10:B11 B14:B24 C4:C24 T1:T3 T8:T9"/>
  </dataValidations>
  <pageMargins left="0.75" right="0.75" top="1" bottom="1" header="0.5" footer="0.5"/>
  <pageSetup paperSize="9" orientation="portrait"/>
  <headerFooter/>
  <legacy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C23" sqref="C23"/>
    </sheetView>
  </sheetViews>
  <sheetFormatPr defaultColWidth="9" defaultRowHeight="13.5"/>
  <cols>
    <col min="1" max="1" width="15.625" customWidth="1"/>
    <col min="7" max="7" width="9.375"/>
    <col min="10" max="10" width="15.625" customWidth="1"/>
  </cols>
  <sheetData>
    <row r="1" ht="16.5" spans="1:12">
      <c r="A1" s="1">
        <v>1101</v>
      </c>
      <c r="B1" s="61">
        <f>SUM(B3:B30)</f>
        <v>10035.6</v>
      </c>
      <c r="C1" s="3" cm="1">
        <f t="array" ref="C1">SUMPRODUCT(C3:C30*B3:B30)/B1</f>
        <v>222.663531826697</v>
      </c>
      <c r="D1" s="4" cm="1">
        <f t="array" ref="D1">SUMPRODUCT(B3:B30*D3:D30)/B1</f>
        <v>4.88042130017139</v>
      </c>
      <c r="E1" s="3" cm="1">
        <f t="array" ref="E1">SUMPRODUCT(B3:B30*E3:E30)/B1</f>
        <v>83.6385886244968</v>
      </c>
      <c r="F1" s="3" cm="1">
        <f t="array" ref="F1">SUMPRODUCT(B3:B30*F3:F30)/B1</f>
        <v>94.8849615369285</v>
      </c>
      <c r="J1" s="108" t="s">
        <v>2705</v>
      </c>
      <c r="K1" s="109">
        <v>705.2</v>
      </c>
      <c r="L1" s="109">
        <v>25100052</v>
      </c>
    </row>
    <row r="2" ht="16.5" spans="1:12">
      <c r="A2" s="5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12">
      <c r="A3" s="39" t="s">
        <v>2706</v>
      </c>
      <c r="B3" s="9">
        <v>275</v>
      </c>
      <c r="C3" s="10">
        <v>252.7</v>
      </c>
      <c r="D3" s="11">
        <v>4.77</v>
      </c>
      <c r="E3" s="12">
        <v>92.6</v>
      </c>
      <c r="F3" s="12">
        <v>99.1</v>
      </c>
      <c r="G3" s="9">
        <v>25020038</v>
      </c>
    </row>
    <row r="4" ht="16.5" spans="1:12">
      <c r="A4" s="110" t="s">
        <v>2707</v>
      </c>
      <c r="B4" s="9">
        <v>523</v>
      </c>
      <c r="C4" s="10">
        <v>227.4</v>
      </c>
      <c r="D4" s="11">
        <v>5</v>
      </c>
      <c r="E4" s="12">
        <v>87.1</v>
      </c>
      <c r="F4" s="12">
        <v>97.5</v>
      </c>
      <c r="G4" s="9">
        <v>25040434</v>
      </c>
    </row>
    <row r="5" ht="16.5" spans="1:12">
      <c r="A5" s="110" t="s">
        <v>2708</v>
      </c>
      <c r="B5" s="9">
        <v>357.6</v>
      </c>
      <c r="C5" s="10">
        <v>209.6</v>
      </c>
      <c r="D5" s="11">
        <v>5.49</v>
      </c>
      <c r="E5" s="12">
        <v>85</v>
      </c>
      <c r="F5" s="12">
        <v>96.7</v>
      </c>
      <c r="G5" s="9">
        <v>25040478</v>
      </c>
    </row>
    <row r="6" ht="16.5" spans="1:12">
      <c r="A6" s="79" t="s">
        <v>2709</v>
      </c>
      <c r="B6" s="9">
        <v>230.6</v>
      </c>
      <c r="C6" s="10">
        <v>181</v>
      </c>
      <c r="D6" s="11">
        <v>4.49</v>
      </c>
      <c r="E6" s="12">
        <v>80.2</v>
      </c>
      <c r="F6" s="12">
        <v>95.7</v>
      </c>
      <c r="G6" s="9">
        <v>25060042</v>
      </c>
    </row>
    <row r="7" ht="16.5" spans="1:12">
      <c r="A7" s="79" t="s">
        <v>2710</v>
      </c>
      <c r="B7" s="9">
        <v>825.8</v>
      </c>
      <c r="C7" s="10">
        <v>213.4</v>
      </c>
      <c r="D7" s="11">
        <v>4.82</v>
      </c>
      <c r="E7" s="12">
        <v>86.7</v>
      </c>
      <c r="F7" s="12">
        <v>97.3</v>
      </c>
      <c r="G7" s="9">
        <v>25060052</v>
      </c>
    </row>
    <row r="8" ht="16.5" spans="1:12">
      <c r="A8" s="79" t="s">
        <v>2711</v>
      </c>
      <c r="B8" s="9">
        <v>793.2</v>
      </c>
      <c r="C8" s="10">
        <v>215.5</v>
      </c>
      <c r="D8" s="11">
        <v>4.89</v>
      </c>
      <c r="E8" s="12">
        <v>88.4</v>
      </c>
      <c r="F8" s="12">
        <v>97.8</v>
      </c>
      <c r="G8" s="9">
        <v>25060065</v>
      </c>
    </row>
    <row r="9" ht="16.5" spans="1:12">
      <c r="A9" s="79" t="s">
        <v>2699</v>
      </c>
      <c r="B9" s="9">
        <v>854.8</v>
      </c>
      <c r="C9" s="10">
        <v>175.3</v>
      </c>
      <c r="D9" s="11">
        <v>4.46</v>
      </c>
      <c r="E9" s="12">
        <v>84</v>
      </c>
      <c r="F9" s="12">
        <v>96.7</v>
      </c>
      <c r="G9" s="9">
        <v>25060068</v>
      </c>
    </row>
    <row r="10" ht="16.5" spans="1:12">
      <c r="A10" s="43" t="s">
        <v>2712</v>
      </c>
      <c r="B10" s="34">
        <v>0</v>
      </c>
      <c r="C10" s="35">
        <v>242.6</v>
      </c>
      <c r="D10" s="36">
        <v>5.66</v>
      </c>
      <c r="E10" s="37">
        <v>74.8</v>
      </c>
      <c r="F10" s="37">
        <v>91.7</v>
      </c>
      <c r="G10" s="94">
        <v>25060299</v>
      </c>
    </row>
    <row r="11" ht="16.5" spans="1:12">
      <c r="A11" s="39" t="s">
        <v>2713</v>
      </c>
      <c r="B11" s="9">
        <v>688.6</v>
      </c>
      <c r="C11" s="10">
        <v>233.8</v>
      </c>
      <c r="D11" s="11">
        <v>4.75</v>
      </c>
      <c r="E11" s="12">
        <v>90.7</v>
      </c>
      <c r="F11" s="12">
        <v>98.5</v>
      </c>
      <c r="G11" s="9">
        <v>25100094</v>
      </c>
    </row>
    <row r="12" ht="16.5" spans="1:12">
      <c r="A12" s="39" t="s">
        <v>2714</v>
      </c>
      <c r="B12" s="9">
        <v>639.4</v>
      </c>
      <c r="C12" s="10">
        <v>221.3</v>
      </c>
      <c r="D12" s="11">
        <v>4.23</v>
      </c>
      <c r="E12" s="12">
        <v>84</v>
      </c>
      <c r="F12" s="12">
        <v>94.7</v>
      </c>
      <c r="G12" s="9">
        <v>25100147</v>
      </c>
    </row>
    <row r="13" ht="16.5" spans="1:12">
      <c r="A13" s="39" t="s">
        <v>2715</v>
      </c>
      <c r="B13" s="9">
        <v>655.6</v>
      </c>
      <c r="C13" s="10">
        <v>227.8</v>
      </c>
      <c r="D13" s="11">
        <v>4.34</v>
      </c>
      <c r="E13" s="12">
        <v>86</v>
      </c>
      <c r="F13" s="12">
        <v>95.4</v>
      </c>
      <c r="G13" s="9">
        <v>25100199</v>
      </c>
    </row>
    <row r="14" ht="16.5" spans="1:12">
      <c r="A14" s="39" t="s">
        <v>2716</v>
      </c>
      <c r="B14" s="9">
        <v>601</v>
      </c>
      <c r="C14" s="10">
        <v>247.2</v>
      </c>
      <c r="D14" s="11">
        <v>5.16</v>
      </c>
      <c r="E14" s="12">
        <v>82</v>
      </c>
      <c r="F14" s="12">
        <v>93</v>
      </c>
      <c r="G14" s="9">
        <v>25100282</v>
      </c>
    </row>
    <row r="15" ht="16.5" spans="1:12">
      <c r="A15" s="39" t="s">
        <v>2717</v>
      </c>
      <c r="B15" s="9">
        <v>584</v>
      </c>
      <c r="C15" s="10">
        <v>243.2</v>
      </c>
      <c r="D15" s="11">
        <v>5.19</v>
      </c>
      <c r="E15" s="12">
        <v>81.7</v>
      </c>
      <c r="F15" s="12">
        <v>92.9</v>
      </c>
      <c r="G15" s="9">
        <v>25100283</v>
      </c>
    </row>
    <row r="16" ht="16.5" spans="1:12">
      <c r="A16" s="39" t="s">
        <v>2718</v>
      </c>
      <c r="B16" s="9">
        <v>604.8</v>
      </c>
      <c r="C16" s="10">
        <v>252.2</v>
      </c>
      <c r="D16" s="11">
        <v>5.13</v>
      </c>
      <c r="E16" s="12">
        <v>91.4</v>
      </c>
      <c r="F16" s="12">
        <v>98.2</v>
      </c>
      <c r="G16" s="9">
        <v>25100296</v>
      </c>
    </row>
    <row r="17" ht="16.5" spans="1:7">
      <c r="A17" s="39" t="s">
        <v>2719</v>
      </c>
      <c r="B17" s="9">
        <v>623.8</v>
      </c>
      <c r="C17" s="10">
        <v>242.7</v>
      </c>
      <c r="D17" s="11">
        <v>5.52</v>
      </c>
      <c r="E17" s="12">
        <v>84</v>
      </c>
      <c r="F17" s="12">
        <v>94.4</v>
      </c>
      <c r="G17" s="9">
        <v>25100298</v>
      </c>
    </row>
    <row r="18" ht="16.5" spans="1:7">
      <c r="A18" s="39" t="s">
        <v>2720</v>
      </c>
      <c r="B18" s="9">
        <v>548.4</v>
      </c>
      <c r="C18" s="10">
        <v>199.5</v>
      </c>
      <c r="D18" s="11">
        <v>4.61</v>
      </c>
      <c r="E18" s="12">
        <v>78</v>
      </c>
      <c r="F18" s="12">
        <v>91.6</v>
      </c>
      <c r="G18" s="9">
        <v>25100300</v>
      </c>
    </row>
    <row r="19" ht="16.5" spans="1:7">
      <c r="A19" s="39" t="s">
        <v>2721</v>
      </c>
      <c r="B19" s="9">
        <v>524.8</v>
      </c>
      <c r="C19" s="10">
        <v>205.1</v>
      </c>
      <c r="D19" s="11">
        <v>4.69</v>
      </c>
      <c r="E19" s="12">
        <v>78.7</v>
      </c>
      <c r="F19" s="12">
        <v>91.2</v>
      </c>
      <c r="G19" s="9">
        <v>25100301</v>
      </c>
    </row>
    <row r="20" ht="16.5" spans="1:7">
      <c r="A20" s="108" t="s">
        <v>2705</v>
      </c>
      <c r="B20" s="109">
        <v>705.2</v>
      </c>
      <c r="C20" s="111">
        <v>239.7</v>
      </c>
      <c r="D20" s="112">
        <v>5.52</v>
      </c>
      <c r="E20" s="113">
        <v>63.3</v>
      </c>
      <c r="F20" s="113">
        <v>84.1</v>
      </c>
      <c r="G20" s="109">
        <v>25100052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K1 C5 B3:C4 B6:C20"/>
  </dataValidations>
  <pageMargins left="0.75" right="0.75" top="1" bottom="1" header="0.5" footer="0.5"/>
  <pageSetup paperSize="9" orientation="portrait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K31" sqref="K31"/>
    </sheetView>
  </sheetViews>
  <sheetFormatPr defaultColWidth="9" defaultRowHeight="13.5"/>
  <cols>
    <col min="1" max="1" width="15.625" customWidth="1"/>
    <col min="9" max="9" width="15.625" customWidth="1"/>
    <col min="10" max="10" width="9.25"/>
  </cols>
  <sheetData>
    <row r="1" ht="16.5" spans="1:15">
      <c r="A1" s="1">
        <v>1102</v>
      </c>
      <c r="B1" s="61">
        <f>SUM(B3:B30)</f>
        <v>2296.2</v>
      </c>
      <c r="C1" s="3" cm="1">
        <f t="array" ref="C1">SUMPRODUCT(C3:C30*B3:B30)/B1</f>
        <v>205.610125424615</v>
      </c>
      <c r="D1" s="4" cm="1">
        <f t="array" ref="D1">SUMPRODUCT(B3:B30*D3:D30)/B1</f>
        <v>4.29240789129867</v>
      </c>
      <c r="E1" s="3" cm="1">
        <f t="array" ref="E1">SUMPRODUCT(B3:B30*E3:E30)/B1</f>
        <v>81.2294225241704</v>
      </c>
      <c r="F1" s="3" cm="1">
        <f t="array" ref="F1">SUMPRODUCT(B3:B30*F3:F30)/B1</f>
        <v>94.6603562407456</v>
      </c>
      <c r="I1" s="1">
        <v>1102</v>
      </c>
      <c r="J1" s="61">
        <f>SUM(J3:J30)</f>
        <v>10017.2</v>
      </c>
      <c r="K1" s="3" cm="1">
        <f t="array" ref="K1">SUMPRODUCT(K3:K30*J3:J30)/J1</f>
        <v>177.740978516951</v>
      </c>
      <c r="L1" s="4" cm="1">
        <f t="array" ref="L1">SUMPRODUCT(J3:J30*L3:L30)/J1</f>
        <v>3.879274947091</v>
      </c>
      <c r="M1" s="3" cm="1">
        <f t="array" ref="M1">SUMPRODUCT(J3:J30*M3:M30)/J1</f>
        <v>79.7284310985106</v>
      </c>
      <c r="N1" s="3" cm="1">
        <f t="array" ref="N1">SUMPRODUCT(J3:J30*N3:N30)/J1</f>
        <v>93.811485245378</v>
      </c>
    </row>
    <row r="2" ht="16.5" spans="1:15">
      <c r="A2" s="5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I2" s="5">
        <v>160</v>
      </c>
      <c r="J2" s="6" t="s">
        <v>0</v>
      </c>
      <c r="K2" s="6" t="s">
        <v>1</v>
      </c>
      <c r="L2" s="6" t="s">
        <v>2</v>
      </c>
      <c r="M2" s="6" t="s">
        <v>3</v>
      </c>
      <c r="N2" s="6" t="s">
        <v>4</v>
      </c>
    </row>
    <row r="3" ht="16.5" spans="1:15">
      <c r="A3" s="19">
        <v>20250916</v>
      </c>
      <c r="B3" s="19">
        <v>65</v>
      </c>
      <c r="C3" s="1">
        <v>158.2</v>
      </c>
      <c r="D3" s="1">
        <v>3.9</v>
      </c>
      <c r="E3" s="2">
        <v>78.4</v>
      </c>
      <c r="F3" s="2">
        <v>94.6</v>
      </c>
      <c r="I3" s="39" t="s">
        <v>2722</v>
      </c>
      <c r="J3" s="9">
        <v>704.2</v>
      </c>
      <c r="K3" s="10">
        <v>241.2</v>
      </c>
      <c r="L3" s="11">
        <v>4.55</v>
      </c>
      <c r="M3" s="12">
        <v>89.7</v>
      </c>
      <c r="N3" s="12">
        <v>97.6</v>
      </c>
      <c r="O3" s="9">
        <v>25100195</v>
      </c>
    </row>
    <row r="4" ht="16.5" spans="1:15">
      <c r="A4" s="19">
        <v>20250917</v>
      </c>
      <c r="B4" s="19">
        <v>97.2</v>
      </c>
      <c r="C4" s="1">
        <v>178.5</v>
      </c>
      <c r="D4" s="1">
        <v>3.9</v>
      </c>
      <c r="E4" s="2">
        <v>78.4</v>
      </c>
      <c r="F4" s="2">
        <v>93.7</v>
      </c>
      <c r="I4" s="39" t="s">
        <v>2723</v>
      </c>
      <c r="J4" s="9">
        <v>719.8</v>
      </c>
      <c r="K4" s="10">
        <v>146.2</v>
      </c>
      <c r="L4" s="11">
        <v>3.36</v>
      </c>
      <c r="M4" s="12">
        <v>71.9</v>
      </c>
      <c r="N4" s="12">
        <v>89.2</v>
      </c>
      <c r="O4" s="9">
        <v>25100137</v>
      </c>
    </row>
    <row r="5" ht="16.5" spans="1:15">
      <c r="A5" s="19">
        <v>20250918</v>
      </c>
      <c r="B5" s="19">
        <v>331.7</v>
      </c>
      <c r="C5" s="1">
        <v>255.2</v>
      </c>
      <c r="D5" s="1">
        <v>4.84</v>
      </c>
      <c r="E5" s="2">
        <v>86.5</v>
      </c>
      <c r="F5" s="2">
        <v>96.8</v>
      </c>
      <c r="I5" s="39" t="s">
        <v>2724</v>
      </c>
      <c r="J5" s="9">
        <v>564.8</v>
      </c>
      <c r="K5" s="10">
        <v>244</v>
      </c>
      <c r="L5" s="11">
        <v>4.77</v>
      </c>
      <c r="M5" s="12">
        <v>83.6</v>
      </c>
      <c r="N5" s="12">
        <v>93.5</v>
      </c>
      <c r="O5" s="9">
        <v>25100235</v>
      </c>
    </row>
    <row r="6" ht="16.5" spans="1:15">
      <c r="A6" s="19">
        <v>20251001</v>
      </c>
      <c r="B6" s="19">
        <v>200</v>
      </c>
      <c r="C6" s="1">
        <v>147.5</v>
      </c>
      <c r="D6" s="1">
        <v>3.69</v>
      </c>
      <c r="E6" s="2">
        <v>77.2</v>
      </c>
      <c r="F6" s="2">
        <v>93.2</v>
      </c>
      <c r="I6" s="39" t="s">
        <v>2725</v>
      </c>
      <c r="J6" s="9">
        <v>202.2</v>
      </c>
      <c r="K6" s="10">
        <v>239.3</v>
      </c>
      <c r="L6" s="11">
        <v>4.77</v>
      </c>
      <c r="M6" s="12">
        <v>91.2</v>
      </c>
      <c r="N6" s="12">
        <v>98.3</v>
      </c>
      <c r="O6" s="9">
        <v>25100245</v>
      </c>
    </row>
    <row r="7" ht="16.5" spans="1:15">
      <c r="A7" s="19">
        <v>20251002</v>
      </c>
      <c r="B7" s="19">
        <v>226.6</v>
      </c>
      <c r="C7" s="1">
        <v>155.7</v>
      </c>
      <c r="D7" s="1">
        <v>3.81</v>
      </c>
      <c r="E7" s="2">
        <v>77.7</v>
      </c>
      <c r="F7" s="2">
        <v>93.6</v>
      </c>
      <c r="I7" s="39" t="s">
        <v>2726</v>
      </c>
      <c r="J7" s="9">
        <v>284.8</v>
      </c>
      <c r="K7" s="10">
        <v>156.4</v>
      </c>
      <c r="L7" s="11">
        <v>3.53</v>
      </c>
      <c r="M7" s="12">
        <v>72.5</v>
      </c>
      <c r="N7" s="12">
        <v>89.8</v>
      </c>
      <c r="O7" s="9">
        <v>25100136</v>
      </c>
    </row>
    <row r="8" ht="16.5" spans="1:15">
      <c r="A8" s="19">
        <v>20251003</v>
      </c>
      <c r="B8" s="19">
        <v>349.6</v>
      </c>
      <c r="C8" s="1">
        <v>173.4</v>
      </c>
      <c r="D8" s="1">
        <v>3.94</v>
      </c>
      <c r="E8" s="2">
        <v>79</v>
      </c>
      <c r="F8" s="2">
        <v>94</v>
      </c>
      <c r="I8" s="39" t="s">
        <v>2727</v>
      </c>
      <c r="J8" s="9">
        <v>300.4</v>
      </c>
      <c r="K8" s="10">
        <v>135.4</v>
      </c>
      <c r="L8" s="11">
        <v>3.28</v>
      </c>
      <c r="M8" s="12">
        <v>67.3</v>
      </c>
      <c r="N8" s="12">
        <v>86.1</v>
      </c>
      <c r="O8" s="9">
        <v>25100156</v>
      </c>
    </row>
    <row r="9" ht="16.5" spans="1:15">
      <c r="A9" s="19">
        <v>20251010</v>
      </c>
      <c r="B9" s="19">
        <v>97.3</v>
      </c>
      <c r="C9" s="1">
        <v>255.2</v>
      </c>
      <c r="D9" s="1">
        <v>4.8</v>
      </c>
      <c r="E9" s="2">
        <v>86.9</v>
      </c>
      <c r="F9" s="2">
        <v>96.7</v>
      </c>
      <c r="I9" s="39" t="s">
        <v>2728</v>
      </c>
      <c r="J9" s="9">
        <v>205.4</v>
      </c>
      <c r="K9" s="10">
        <v>151.8</v>
      </c>
      <c r="L9" s="11">
        <v>3.43</v>
      </c>
      <c r="M9" s="12">
        <v>79.2</v>
      </c>
      <c r="N9" s="12">
        <v>93.2</v>
      </c>
      <c r="O9" s="9">
        <v>25100303</v>
      </c>
    </row>
    <row r="10" ht="16.5" spans="1:15">
      <c r="A10" s="19">
        <v>20251011</v>
      </c>
      <c r="B10" s="19">
        <v>105.9</v>
      </c>
      <c r="C10" s="1">
        <v>114.4</v>
      </c>
      <c r="D10" s="1">
        <v>2.93</v>
      </c>
      <c r="E10" s="2">
        <v>69.3</v>
      </c>
      <c r="F10" s="2">
        <v>89.1</v>
      </c>
      <c r="I10" s="39" t="s">
        <v>2729</v>
      </c>
      <c r="J10" s="9">
        <v>558.8</v>
      </c>
      <c r="K10" s="10">
        <v>241.8</v>
      </c>
      <c r="L10" s="11">
        <v>4.52</v>
      </c>
      <c r="M10" s="12">
        <v>83.4</v>
      </c>
      <c r="N10" s="12">
        <v>94</v>
      </c>
      <c r="O10" s="9">
        <v>25100255</v>
      </c>
    </row>
    <row r="11" ht="16.5" spans="1:15">
      <c r="A11" s="19">
        <v>20250820</v>
      </c>
      <c r="B11" s="19">
        <v>31</v>
      </c>
      <c r="C11" s="1">
        <v>206.4</v>
      </c>
      <c r="D11" s="1">
        <v>4.79</v>
      </c>
      <c r="E11" s="2">
        <v>82.1</v>
      </c>
      <c r="F11" s="2">
        <v>95</v>
      </c>
      <c r="I11" s="39" t="s">
        <v>876</v>
      </c>
      <c r="J11" s="9">
        <v>491.2</v>
      </c>
      <c r="K11" s="10">
        <v>118.7</v>
      </c>
      <c r="L11" s="11">
        <v>3.03</v>
      </c>
      <c r="M11" s="12">
        <v>64</v>
      </c>
      <c r="N11" s="12">
        <v>88.3</v>
      </c>
      <c r="O11" s="9">
        <v>25020284</v>
      </c>
    </row>
    <row r="12" ht="16.5" spans="1:15">
      <c r="A12" s="19">
        <v>20250901</v>
      </c>
      <c r="B12" s="19">
        <v>25</v>
      </c>
      <c r="C12" s="1">
        <v>250.1</v>
      </c>
      <c r="D12" s="1">
        <v>4.89</v>
      </c>
      <c r="E12" s="2">
        <v>85.8</v>
      </c>
      <c r="F12" s="2">
        <v>96.6</v>
      </c>
      <c r="I12" s="68" t="s">
        <v>2730</v>
      </c>
      <c r="J12" s="9">
        <v>586.8</v>
      </c>
      <c r="K12" s="10">
        <v>119</v>
      </c>
      <c r="L12" s="11">
        <v>3.58</v>
      </c>
      <c r="M12" s="12">
        <v>72.4</v>
      </c>
      <c r="N12" s="12">
        <v>89.8</v>
      </c>
      <c r="O12" s="9">
        <v>24060226</v>
      </c>
    </row>
    <row r="13" ht="16.5" spans="1:15">
      <c r="A13" s="19">
        <v>20251014</v>
      </c>
      <c r="B13" s="19">
        <v>45.3</v>
      </c>
      <c r="C13" s="1">
        <v>228.9</v>
      </c>
      <c r="D13" s="1">
        <v>4.84</v>
      </c>
      <c r="E13" s="2">
        <v>82.9</v>
      </c>
      <c r="F13" s="2">
        <v>94.9</v>
      </c>
      <c r="I13" s="39" t="s">
        <v>2731</v>
      </c>
      <c r="J13" s="9">
        <v>558</v>
      </c>
      <c r="K13" s="10">
        <v>239.7</v>
      </c>
      <c r="L13" s="11">
        <v>4.46</v>
      </c>
      <c r="M13" s="12">
        <v>84.4</v>
      </c>
      <c r="N13" s="12">
        <v>94.7</v>
      </c>
      <c r="O13" s="9">
        <v>25100256</v>
      </c>
    </row>
    <row r="14" ht="16.5" spans="1:15">
      <c r="A14" s="19">
        <v>20241103</v>
      </c>
      <c r="B14" s="19">
        <v>112.8</v>
      </c>
      <c r="C14" s="1">
        <v>249.4</v>
      </c>
      <c r="D14" s="1">
        <v>4.93</v>
      </c>
      <c r="E14" s="2">
        <v>87.1</v>
      </c>
      <c r="F14" s="2">
        <v>97.2</v>
      </c>
      <c r="I14" s="39" t="s">
        <v>2732</v>
      </c>
      <c r="J14" s="9">
        <v>607.4</v>
      </c>
      <c r="K14" s="10">
        <v>93.3</v>
      </c>
      <c r="L14" s="11">
        <v>2.93</v>
      </c>
      <c r="M14" s="12">
        <v>81.2</v>
      </c>
      <c r="N14" s="12">
        <v>97.4</v>
      </c>
      <c r="O14" s="9">
        <v>25070149</v>
      </c>
    </row>
    <row r="15" ht="16.5" spans="1:15">
      <c r="A15" s="19">
        <v>20241104</v>
      </c>
      <c r="B15" s="19">
        <v>47.4</v>
      </c>
      <c r="C15" s="1">
        <v>251.6</v>
      </c>
      <c r="D15" s="1">
        <v>4.97</v>
      </c>
      <c r="E15" s="2">
        <v>82</v>
      </c>
      <c r="F15" s="2">
        <v>95.3</v>
      </c>
      <c r="I15" s="39" t="s">
        <v>2733</v>
      </c>
      <c r="J15" s="9">
        <v>490.8</v>
      </c>
      <c r="K15" s="10">
        <v>119.1</v>
      </c>
      <c r="L15" s="11">
        <v>3.18</v>
      </c>
      <c r="M15" s="12">
        <v>77.2</v>
      </c>
      <c r="N15" s="12">
        <v>94.6</v>
      </c>
      <c r="O15" s="9">
        <v>25040230</v>
      </c>
    </row>
    <row r="16" ht="16.5" spans="1:15">
      <c r="A16" s="19">
        <v>20241107</v>
      </c>
      <c r="B16" s="19">
        <v>187.4</v>
      </c>
      <c r="C16" s="1">
        <v>249</v>
      </c>
      <c r="D16" s="1">
        <v>4.88</v>
      </c>
      <c r="E16" s="2">
        <v>80.4</v>
      </c>
      <c r="F16" s="2">
        <v>93.8</v>
      </c>
      <c r="I16" s="39" t="s">
        <v>2734</v>
      </c>
      <c r="J16" s="9">
        <v>580.6</v>
      </c>
      <c r="K16" s="10">
        <v>239.2</v>
      </c>
      <c r="L16" s="11">
        <v>4.43</v>
      </c>
      <c r="M16" s="12">
        <v>84.6</v>
      </c>
      <c r="N16" s="12">
        <v>94.4</v>
      </c>
      <c r="O16" s="9">
        <v>25100257</v>
      </c>
    </row>
    <row r="17" ht="16.5" spans="1:15">
      <c r="A17" s="19">
        <v>20241127</v>
      </c>
      <c r="B17" s="19">
        <v>80</v>
      </c>
      <c r="C17" s="1">
        <v>183.3</v>
      </c>
      <c r="D17" s="1">
        <v>3.94</v>
      </c>
      <c r="E17" s="2">
        <v>78.9</v>
      </c>
      <c r="F17" s="2">
        <v>93.9</v>
      </c>
      <c r="I17" s="39" t="s">
        <v>2735</v>
      </c>
      <c r="J17" s="9">
        <v>865.8</v>
      </c>
      <c r="K17" s="10">
        <v>92</v>
      </c>
      <c r="L17" s="11">
        <v>2.9</v>
      </c>
      <c r="M17" s="12">
        <v>81.4</v>
      </c>
      <c r="N17" s="12">
        <v>97.4</v>
      </c>
      <c r="O17" s="9">
        <v>25070148</v>
      </c>
    </row>
    <row r="18" ht="16.5" spans="1:15">
      <c r="A18" s="19">
        <v>20240624</v>
      </c>
      <c r="B18" s="19">
        <v>119.4</v>
      </c>
      <c r="C18" s="1">
        <v>237.1</v>
      </c>
      <c r="D18" s="1">
        <v>4.56</v>
      </c>
      <c r="E18" s="2">
        <v>83.6</v>
      </c>
      <c r="F18" s="2">
        <v>95.5</v>
      </c>
      <c r="I18" s="101" t="s">
        <v>2736</v>
      </c>
      <c r="J18" s="62">
        <v>2296.2</v>
      </c>
      <c r="K18" s="62">
        <v>205.610125424615</v>
      </c>
      <c r="L18" s="63">
        <v>4.29240789129867</v>
      </c>
      <c r="M18" s="62">
        <v>81.2294225241704</v>
      </c>
      <c r="N18" s="62">
        <v>94.6603562407456</v>
      </c>
    </row>
    <row r="19" ht="16.5" spans="1:15">
      <c r="A19" s="19">
        <v>20240626</v>
      </c>
      <c r="B19" s="19">
        <v>74.6</v>
      </c>
      <c r="C19" s="1">
        <v>253.3</v>
      </c>
      <c r="D19" s="1">
        <v>4.32</v>
      </c>
      <c r="E19" s="2">
        <v>86.1</v>
      </c>
      <c r="F19" s="2">
        <v>96.3</v>
      </c>
    </row>
    <row r="20" ht="16.5" spans="1:15">
      <c r="A20" s="19">
        <v>20240827</v>
      </c>
      <c r="B20" s="19">
        <v>100</v>
      </c>
      <c r="C20" s="1">
        <v>258.8</v>
      </c>
      <c r="D20" s="1">
        <v>4.84</v>
      </c>
      <c r="E20" s="2">
        <v>87.1</v>
      </c>
      <c r="F20" s="2">
        <v>96.2</v>
      </c>
    </row>
  </sheetData>
  <conditionalFormatting sqref="A1:A2">
    <cfRule type="duplicateValues" dxfId="0" priority="78"/>
  </conditionalFormatting>
  <conditionalFormatting sqref="I1:I2">
    <cfRule type="duplicateValues" dxfId="0" priority="1"/>
  </conditionalFormatting>
  <dataValidations count="1">
    <dataValidation allowBlank="1" showInputMessage="1" showErrorMessage="1" sqref="C3:C20 J3:K17"/>
  </dataValidations>
  <pageMargins left="0.75" right="0.75" top="1" bottom="1" header="0.5" footer="0.5"/>
  <pageSetup paperSize="9" orientation="portrait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I19" sqref="I19"/>
    </sheetView>
  </sheetViews>
  <sheetFormatPr defaultColWidth="9" defaultRowHeight="13.5" outlineLevelCol="6"/>
  <cols>
    <col min="1" max="1" width="15.625" customWidth="1"/>
    <col min="2" max="2" width="9.25"/>
    <col min="7" max="7" width="9.375"/>
  </cols>
  <sheetData>
    <row r="1" ht="16.5" spans="1:7">
      <c r="A1" s="1">
        <v>1103</v>
      </c>
      <c r="B1" s="61">
        <f>SUM(B3:B30)</f>
        <v>10093.4</v>
      </c>
      <c r="C1" s="3" cm="1">
        <f t="array" ref="C1">SUMPRODUCT(C3:C30*B3:B30)/B1</f>
        <v>264.834436364357</v>
      </c>
      <c r="D1" s="4" cm="1">
        <f t="array" ref="D1">SUMPRODUCT(B3:B30*D3:D30)/B1</f>
        <v>4.91928686072087</v>
      </c>
      <c r="E1" s="3" cm="1">
        <f t="array" ref="E1">SUMPRODUCT(B3:B30*E3:E30)/B1</f>
        <v>82.7088711435195</v>
      </c>
      <c r="F1" s="3" cm="1">
        <f t="array" ref="F1">SUMPRODUCT(B3:B30*F3:F30)/B1</f>
        <v>93.9925674202945</v>
      </c>
    </row>
    <row r="2" ht="16.5" spans="1:7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9" t="s">
        <v>2737</v>
      </c>
      <c r="B3" s="9">
        <v>610.4</v>
      </c>
      <c r="C3" s="10">
        <v>271.1</v>
      </c>
      <c r="D3" s="11">
        <v>4.89</v>
      </c>
      <c r="E3" s="12">
        <v>89.8</v>
      </c>
      <c r="F3" s="12">
        <v>97.4</v>
      </c>
      <c r="G3" s="9">
        <v>25100278</v>
      </c>
    </row>
    <row r="4" ht="16.5" spans="1:7">
      <c r="A4" s="54" t="s">
        <v>2738</v>
      </c>
      <c r="B4" s="97">
        <v>205.6</v>
      </c>
      <c r="C4" s="98">
        <v>189.6</v>
      </c>
      <c r="D4" s="99">
        <v>5.46</v>
      </c>
      <c r="E4" s="100">
        <v>69.2</v>
      </c>
      <c r="F4" s="100">
        <v>87.4</v>
      </c>
      <c r="G4" s="97">
        <v>24070301</v>
      </c>
    </row>
    <row r="5" ht="16.5" spans="1:7">
      <c r="A5" s="54" t="s">
        <v>2739</v>
      </c>
      <c r="B5" s="9">
        <v>302.2</v>
      </c>
      <c r="C5" s="10">
        <v>279.8</v>
      </c>
      <c r="D5" s="11">
        <v>5.02</v>
      </c>
      <c r="E5" s="12">
        <v>94.2</v>
      </c>
      <c r="F5" s="12">
        <v>98.5</v>
      </c>
      <c r="G5" s="9">
        <v>24090072</v>
      </c>
    </row>
    <row r="6" ht="16.5" spans="1:7">
      <c r="A6" s="54" t="s">
        <v>2740</v>
      </c>
      <c r="B6" s="9">
        <v>471</v>
      </c>
      <c r="C6" s="10">
        <v>273.8</v>
      </c>
      <c r="D6" s="11">
        <v>4.97</v>
      </c>
      <c r="E6" s="12">
        <v>95.5</v>
      </c>
      <c r="F6" s="12">
        <v>99</v>
      </c>
      <c r="G6" s="9">
        <v>24090123</v>
      </c>
    </row>
    <row r="7" ht="16.5" spans="1:7">
      <c r="A7" s="68" t="s">
        <v>2741</v>
      </c>
      <c r="B7" s="9">
        <v>486.8</v>
      </c>
      <c r="C7" s="10">
        <v>263.5</v>
      </c>
      <c r="D7" s="11">
        <v>5.57</v>
      </c>
      <c r="E7" s="12">
        <v>89.9</v>
      </c>
      <c r="F7" s="12">
        <v>98</v>
      </c>
      <c r="G7" s="9">
        <v>25020453</v>
      </c>
    </row>
    <row r="8" ht="16.5" spans="1:7">
      <c r="A8" s="39" t="s">
        <v>2742</v>
      </c>
      <c r="B8" s="9">
        <v>262</v>
      </c>
      <c r="C8" s="10">
        <v>300.1</v>
      </c>
      <c r="D8" s="11">
        <v>4.61</v>
      </c>
      <c r="E8" s="12">
        <v>93.2</v>
      </c>
      <c r="F8" s="12">
        <v>99</v>
      </c>
      <c r="G8" s="9">
        <v>25100272</v>
      </c>
    </row>
    <row r="9" ht="16.5" spans="1:7">
      <c r="A9" s="39" t="s">
        <v>2743</v>
      </c>
      <c r="B9" s="9">
        <v>702.2</v>
      </c>
      <c r="C9" s="10">
        <v>192.8</v>
      </c>
      <c r="D9" s="11">
        <v>4.2</v>
      </c>
      <c r="E9" s="12">
        <v>67.8</v>
      </c>
      <c r="F9" s="12">
        <v>86.4</v>
      </c>
      <c r="G9" s="9">
        <v>25100121</v>
      </c>
    </row>
    <row r="10" ht="16.5" spans="1:7">
      <c r="A10" s="54" t="s">
        <v>2744</v>
      </c>
      <c r="B10" s="9">
        <v>458</v>
      </c>
      <c r="C10" s="10">
        <v>260.1</v>
      </c>
      <c r="D10" s="11">
        <v>5.49</v>
      </c>
      <c r="E10" s="12">
        <v>72.6</v>
      </c>
      <c r="F10" s="12">
        <v>88.9</v>
      </c>
      <c r="G10" s="9">
        <v>25100020</v>
      </c>
    </row>
    <row r="11" ht="16.5" spans="1:7">
      <c r="A11" s="39" t="s">
        <v>2745</v>
      </c>
      <c r="B11" s="9">
        <v>301.2</v>
      </c>
      <c r="C11" s="10">
        <v>293.9</v>
      </c>
      <c r="D11" s="11">
        <v>4.46</v>
      </c>
      <c r="E11" s="12">
        <v>92.6</v>
      </c>
      <c r="F11" s="12">
        <v>98.4</v>
      </c>
      <c r="G11" s="9">
        <v>25100274</v>
      </c>
    </row>
    <row r="12" ht="16.5" spans="1:7">
      <c r="A12" s="39" t="s">
        <v>2746</v>
      </c>
      <c r="B12" s="9">
        <v>217.4</v>
      </c>
      <c r="C12" s="10">
        <v>281.1</v>
      </c>
      <c r="D12" s="11">
        <v>4.57</v>
      </c>
      <c r="E12" s="12">
        <v>90.9</v>
      </c>
      <c r="F12" s="12">
        <v>98.4</v>
      </c>
      <c r="G12" s="9">
        <v>25040215</v>
      </c>
    </row>
    <row r="13" ht="16.5" spans="1:7">
      <c r="A13" s="54" t="s">
        <v>2747</v>
      </c>
      <c r="B13" s="9">
        <v>621</v>
      </c>
      <c r="C13" s="10">
        <v>262.6</v>
      </c>
      <c r="D13" s="11">
        <v>5.67</v>
      </c>
      <c r="E13" s="12">
        <v>69.7</v>
      </c>
      <c r="F13" s="12">
        <v>87.3</v>
      </c>
      <c r="G13" s="9">
        <v>25100017</v>
      </c>
    </row>
    <row r="14" ht="16.5" spans="1:7">
      <c r="A14" s="39" t="s">
        <v>2748</v>
      </c>
      <c r="B14" s="9">
        <v>206.4</v>
      </c>
      <c r="C14" s="10">
        <v>297.2</v>
      </c>
      <c r="D14" s="11">
        <v>4.2</v>
      </c>
      <c r="E14" s="12">
        <v>92.3</v>
      </c>
      <c r="F14" s="12">
        <v>98.9</v>
      </c>
      <c r="G14" s="9">
        <v>25040549</v>
      </c>
    </row>
    <row r="15" ht="16.5" spans="1:7">
      <c r="A15" s="39" t="s">
        <v>2749</v>
      </c>
      <c r="B15" s="9">
        <v>497.4</v>
      </c>
      <c r="C15" s="10">
        <v>271.7</v>
      </c>
      <c r="D15" s="11">
        <v>4.34</v>
      </c>
      <c r="E15" s="12">
        <v>92.7</v>
      </c>
      <c r="F15" s="12">
        <v>98.8</v>
      </c>
      <c r="G15" s="9">
        <v>25050073</v>
      </c>
    </row>
    <row r="16" ht="16.5" spans="1:7">
      <c r="A16" s="54" t="s">
        <v>2750</v>
      </c>
      <c r="B16" s="9">
        <v>639.6</v>
      </c>
      <c r="C16" s="10">
        <v>251.7</v>
      </c>
      <c r="D16" s="11">
        <v>5.33</v>
      </c>
      <c r="E16" s="12">
        <v>67.8</v>
      </c>
      <c r="F16" s="12">
        <v>88.2</v>
      </c>
      <c r="G16" s="9">
        <v>25090008</v>
      </c>
    </row>
    <row r="17" ht="16.5" spans="1:7">
      <c r="A17" s="54" t="s">
        <v>2751</v>
      </c>
      <c r="B17" s="9">
        <v>540.6</v>
      </c>
      <c r="C17" s="10">
        <v>227.6</v>
      </c>
      <c r="D17" s="11">
        <v>5.95</v>
      </c>
      <c r="E17" s="12">
        <v>78.6</v>
      </c>
      <c r="F17" s="12">
        <v>90.6</v>
      </c>
      <c r="G17" s="9">
        <v>24090101</v>
      </c>
    </row>
    <row r="18" ht="16.5" spans="1:7">
      <c r="A18" s="66" t="s">
        <v>2752</v>
      </c>
      <c r="B18" s="9">
        <v>281.2</v>
      </c>
      <c r="C18" s="10">
        <v>297.5</v>
      </c>
      <c r="D18" s="11">
        <v>4.29</v>
      </c>
      <c r="E18" s="12">
        <v>91.4</v>
      </c>
      <c r="F18" s="12">
        <v>99</v>
      </c>
      <c r="G18" s="9">
        <v>24110333</v>
      </c>
    </row>
    <row r="19" ht="16.5" spans="1:7">
      <c r="A19" s="66" t="s">
        <v>2753</v>
      </c>
      <c r="B19" s="9">
        <v>265.8</v>
      </c>
      <c r="C19" s="10">
        <v>289</v>
      </c>
      <c r="D19" s="11">
        <v>4.29</v>
      </c>
      <c r="E19" s="12">
        <v>91.3</v>
      </c>
      <c r="F19" s="12">
        <v>98.6</v>
      </c>
      <c r="G19" s="9">
        <v>24110334</v>
      </c>
    </row>
    <row r="20" ht="16.5" spans="1:7">
      <c r="A20" s="54" t="s">
        <v>2754</v>
      </c>
      <c r="B20" s="9">
        <v>205</v>
      </c>
      <c r="C20" s="10">
        <v>257.4</v>
      </c>
      <c r="D20" s="11">
        <v>5.44</v>
      </c>
      <c r="E20" s="12">
        <v>67.7</v>
      </c>
      <c r="F20" s="12">
        <v>88.1</v>
      </c>
      <c r="G20" s="9">
        <v>25090009</v>
      </c>
    </row>
    <row r="21" ht="16.5" spans="1:7">
      <c r="A21" s="39" t="s">
        <v>2755</v>
      </c>
      <c r="B21" s="9">
        <v>477.4</v>
      </c>
      <c r="C21" s="10">
        <v>273.3</v>
      </c>
      <c r="D21" s="11">
        <v>4.08</v>
      </c>
      <c r="E21" s="12">
        <v>91.7</v>
      </c>
      <c r="F21" s="12">
        <v>98.8</v>
      </c>
      <c r="G21" s="9">
        <v>25050199</v>
      </c>
    </row>
    <row r="22" ht="16.5" spans="1:7">
      <c r="A22" s="54" t="s">
        <v>2756</v>
      </c>
      <c r="B22" s="9">
        <v>695.4</v>
      </c>
      <c r="C22" s="10">
        <v>265.8</v>
      </c>
      <c r="D22" s="11">
        <v>5.24</v>
      </c>
      <c r="E22" s="12">
        <v>74.3</v>
      </c>
      <c r="F22" s="12">
        <v>89.5</v>
      </c>
      <c r="G22" s="9">
        <v>25100019</v>
      </c>
    </row>
    <row r="23" ht="16.5" spans="1:7">
      <c r="A23" s="66" t="s">
        <v>2757</v>
      </c>
      <c r="B23" s="9">
        <v>474.6</v>
      </c>
      <c r="C23" s="10">
        <v>291.4</v>
      </c>
      <c r="D23" s="11">
        <v>4.26</v>
      </c>
      <c r="E23" s="12">
        <v>90.6</v>
      </c>
      <c r="F23" s="12">
        <v>98.3</v>
      </c>
      <c r="G23" s="9">
        <v>24110335</v>
      </c>
    </row>
    <row r="24" ht="16.5" spans="1:7">
      <c r="A24" s="54" t="s">
        <v>2758</v>
      </c>
      <c r="B24" s="9">
        <v>659.2</v>
      </c>
      <c r="C24" s="10">
        <v>281.2</v>
      </c>
      <c r="D24" s="11">
        <v>5.05</v>
      </c>
      <c r="E24" s="12">
        <v>78.8</v>
      </c>
      <c r="F24" s="12">
        <v>92.1</v>
      </c>
      <c r="G24" s="9">
        <v>25100015</v>
      </c>
    </row>
    <row r="25" ht="16.5" spans="1:7">
      <c r="A25" s="39" t="s">
        <v>2759</v>
      </c>
      <c r="B25" s="9">
        <v>513</v>
      </c>
      <c r="C25" s="10">
        <v>289</v>
      </c>
      <c r="D25" s="11">
        <v>4.66</v>
      </c>
      <c r="E25" s="12">
        <v>91.8</v>
      </c>
      <c r="F25" s="12">
        <v>99</v>
      </c>
      <c r="G25" s="9">
        <v>25040530</v>
      </c>
    </row>
  </sheetData>
  <conditionalFormatting sqref="A3">
    <cfRule type="duplicateValues" dxfId="0" priority="17"/>
  </conditionalFormatting>
  <conditionalFormatting sqref="A9">
    <cfRule type="duplicateValues" dxfId="0" priority="14"/>
  </conditionalFormatting>
  <conditionalFormatting sqref="A10">
    <cfRule type="duplicateValues" dxfId="0" priority="13"/>
  </conditionalFormatting>
  <conditionalFormatting sqref="A11">
    <cfRule type="duplicateValues" dxfId="0" priority="12"/>
  </conditionalFormatting>
  <conditionalFormatting sqref="A13">
    <cfRule type="duplicateValues" dxfId="0" priority="11"/>
  </conditionalFormatting>
  <conditionalFormatting sqref="A16">
    <cfRule type="duplicateValues" dxfId="0" priority="9"/>
  </conditionalFormatting>
  <conditionalFormatting sqref="A17">
    <cfRule type="duplicateValues" dxfId="0" priority="8"/>
  </conditionalFormatting>
  <conditionalFormatting sqref="A20">
    <cfRule type="duplicateValues" dxfId="0" priority="6"/>
  </conditionalFormatting>
  <conditionalFormatting sqref="A21">
    <cfRule type="duplicateValues" dxfId="0" priority="5"/>
  </conditionalFormatting>
  <conditionalFormatting sqref="A22">
    <cfRule type="duplicateValues" dxfId="0" priority="4"/>
  </conditionalFormatting>
  <conditionalFormatting sqref="A23">
    <cfRule type="duplicateValues" dxfId="0" priority="3"/>
  </conditionalFormatting>
  <conditionalFormatting sqref="A24">
    <cfRule type="duplicateValues" dxfId="0" priority="2"/>
  </conditionalFormatting>
  <conditionalFormatting sqref="A25">
    <cfRule type="duplicateValues" dxfId="0" priority="1"/>
  </conditionalFormatting>
  <conditionalFormatting sqref="A1:A2">
    <cfRule type="duplicateValues" dxfId="0" priority="18"/>
  </conditionalFormatting>
  <conditionalFormatting sqref="A4:A6">
    <cfRule type="duplicateValues" dxfId="0" priority="16"/>
  </conditionalFormatting>
  <conditionalFormatting sqref="A7:A8">
    <cfRule type="duplicateValues" dxfId="0" priority="15"/>
  </conditionalFormatting>
  <conditionalFormatting sqref="A14:A15">
    <cfRule type="duplicateValues" dxfId="0" priority="10"/>
  </conditionalFormatting>
  <conditionalFormatting sqref="A18:A19">
    <cfRule type="duplicateValues" dxfId="0" priority="7"/>
  </conditionalFormatting>
  <dataValidations count="1">
    <dataValidation allowBlank="1" showInputMessage="1" showErrorMessage="1" sqref="B3:C25"/>
  </dataValidations>
  <pageMargins left="0.75" right="0.75" top="1" bottom="1" header="0.5" footer="0.5"/>
  <pageSetup paperSize="9" orientation="portrait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I24" sqref="I24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1106</v>
      </c>
      <c r="B1" s="61">
        <f>SUM(B3:B30)</f>
        <v>6088.8</v>
      </c>
      <c r="C1" s="3" cm="1">
        <f t="array" ref="C1">SUMPRODUCT(C3:C30*B3:B30)/B1</f>
        <v>240.938404940218</v>
      </c>
      <c r="D1" s="4" cm="1">
        <f t="array" ref="D1">SUMPRODUCT(B3:B30*D3:D30)/B1</f>
        <v>4.95996616738931</v>
      </c>
      <c r="E1" s="3" cm="1">
        <f t="array" ref="E1">SUMPRODUCT(B3:B30*E3:E30)/B1</f>
        <v>82.1648140848772</v>
      </c>
      <c r="F1" s="3" cm="1">
        <f t="array" ref="F1">SUMPRODUCT(B3:B30*F3:F30)/B1</f>
        <v>93.4979667586388</v>
      </c>
    </row>
    <row r="2" ht="16.5" spans="1:7">
      <c r="A2" s="5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69" t="s">
        <v>2760</v>
      </c>
      <c r="B3" s="24">
        <v>408.4</v>
      </c>
      <c r="C3" s="28">
        <v>178.5</v>
      </c>
      <c r="D3" s="25">
        <v>5.46</v>
      </c>
      <c r="E3" s="29">
        <v>64.1</v>
      </c>
      <c r="F3" s="29">
        <v>84.3</v>
      </c>
      <c r="G3" s="24">
        <v>24070302</v>
      </c>
    </row>
    <row r="4" ht="16.5" spans="1:7">
      <c r="A4" s="69" t="s">
        <v>2761</v>
      </c>
      <c r="B4" s="24">
        <v>485.2</v>
      </c>
      <c r="C4" s="28">
        <v>261</v>
      </c>
      <c r="D4" s="25">
        <v>5.63</v>
      </c>
      <c r="E4" s="29">
        <v>92.6</v>
      </c>
      <c r="F4" s="29">
        <v>97.9</v>
      </c>
      <c r="G4" s="24">
        <v>24090128</v>
      </c>
    </row>
    <row r="5" ht="16.5" spans="1:7">
      <c r="A5" s="69" t="s">
        <v>2762</v>
      </c>
      <c r="B5" s="24">
        <v>754.6</v>
      </c>
      <c r="C5" s="28">
        <v>252.8</v>
      </c>
      <c r="D5" s="25">
        <v>4.86</v>
      </c>
      <c r="E5" s="29">
        <v>88.7</v>
      </c>
      <c r="F5" s="29">
        <v>97.2</v>
      </c>
      <c r="G5" s="24">
        <v>25060303</v>
      </c>
    </row>
    <row r="6" ht="16.5" spans="1:7">
      <c r="A6" s="69" t="s">
        <v>2763</v>
      </c>
      <c r="B6" s="24">
        <v>569</v>
      </c>
      <c r="C6" s="28">
        <v>258</v>
      </c>
      <c r="D6" s="25">
        <v>5.02</v>
      </c>
      <c r="E6" s="29">
        <v>79.8</v>
      </c>
      <c r="F6" s="29">
        <v>93.9</v>
      </c>
      <c r="G6" s="24">
        <v>25090005</v>
      </c>
    </row>
    <row r="7" ht="16.5" spans="1:7">
      <c r="A7" s="69" t="s">
        <v>2764</v>
      </c>
      <c r="B7" s="24">
        <v>173.4</v>
      </c>
      <c r="C7" s="28">
        <v>315.4</v>
      </c>
      <c r="D7" s="25">
        <v>5.24</v>
      </c>
      <c r="E7" s="29">
        <v>91</v>
      </c>
      <c r="F7" s="29">
        <v>97.5</v>
      </c>
      <c r="G7" s="24">
        <v>25090012</v>
      </c>
    </row>
    <row r="8" ht="16.5" spans="1:7">
      <c r="A8" s="30" t="s">
        <v>2765</v>
      </c>
      <c r="B8" s="24">
        <v>684</v>
      </c>
      <c r="C8" s="28">
        <v>243.2</v>
      </c>
      <c r="D8" s="25">
        <v>5.33</v>
      </c>
      <c r="E8" s="29">
        <v>73.6</v>
      </c>
      <c r="F8" s="29">
        <v>89.2</v>
      </c>
      <c r="G8" s="24">
        <v>25100085</v>
      </c>
    </row>
    <row r="9" ht="16.5" spans="1:7">
      <c r="A9" s="30" t="s">
        <v>2766</v>
      </c>
      <c r="B9" s="24">
        <v>478.6</v>
      </c>
      <c r="C9" s="28">
        <v>195</v>
      </c>
      <c r="D9" s="25">
        <v>4.46</v>
      </c>
      <c r="E9" s="29">
        <v>71.5</v>
      </c>
      <c r="F9" s="29">
        <v>89</v>
      </c>
      <c r="G9" s="24">
        <v>25100120</v>
      </c>
    </row>
    <row r="10" ht="16.5" spans="1:7">
      <c r="A10" s="30" t="s">
        <v>2767</v>
      </c>
      <c r="B10" s="24">
        <v>575.8</v>
      </c>
      <c r="C10" s="28">
        <v>236</v>
      </c>
      <c r="D10" s="25">
        <v>4.63</v>
      </c>
      <c r="E10" s="29">
        <v>79.7</v>
      </c>
      <c r="F10" s="29">
        <v>92</v>
      </c>
      <c r="G10" s="24">
        <v>25100169</v>
      </c>
    </row>
    <row r="11" ht="16.5" spans="1:7">
      <c r="A11" s="30" t="s">
        <v>2768</v>
      </c>
      <c r="B11" s="24">
        <v>250.6</v>
      </c>
      <c r="C11" s="28">
        <v>241.7</v>
      </c>
      <c r="D11" s="25">
        <v>4.03</v>
      </c>
      <c r="E11" s="29">
        <v>90.8</v>
      </c>
      <c r="F11" s="29">
        <v>96.7</v>
      </c>
      <c r="G11" s="24">
        <v>25100227</v>
      </c>
    </row>
    <row r="12" ht="16.5" spans="1:7">
      <c r="A12" s="30" t="s">
        <v>2769</v>
      </c>
      <c r="B12" s="24">
        <v>611</v>
      </c>
      <c r="C12" s="28">
        <v>238.8</v>
      </c>
      <c r="D12" s="25">
        <v>4.72</v>
      </c>
      <c r="E12" s="29">
        <v>82.2</v>
      </c>
      <c r="F12" s="29">
        <v>92.8</v>
      </c>
      <c r="G12" s="24">
        <v>25100237</v>
      </c>
    </row>
    <row r="13" ht="16.5" spans="1:7">
      <c r="A13" s="30" t="s">
        <v>2770</v>
      </c>
      <c r="B13" s="24">
        <v>509.2</v>
      </c>
      <c r="C13" s="28">
        <v>245</v>
      </c>
      <c r="D13" s="25">
        <v>4.86</v>
      </c>
      <c r="E13" s="29">
        <v>86</v>
      </c>
      <c r="F13" s="29">
        <v>94.9</v>
      </c>
      <c r="G13" s="24">
        <v>25100251</v>
      </c>
    </row>
    <row r="14" ht="16.5" spans="1:7">
      <c r="A14" s="30" t="s">
        <v>2771</v>
      </c>
      <c r="B14" s="24">
        <v>297</v>
      </c>
      <c r="C14" s="28">
        <v>254.1</v>
      </c>
      <c r="D14" s="25">
        <v>4.97</v>
      </c>
      <c r="E14" s="29">
        <v>91.5</v>
      </c>
      <c r="F14" s="29">
        <v>98.2</v>
      </c>
      <c r="G14" s="24">
        <v>25100294</v>
      </c>
    </row>
    <row r="15" ht="16.5" spans="1:7">
      <c r="A15" s="30" t="s">
        <v>2772</v>
      </c>
      <c r="B15" s="24">
        <v>292</v>
      </c>
      <c r="C15" s="28">
        <v>249.9</v>
      </c>
      <c r="D15" s="25">
        <v>5.19</v>
      </c>
      <c r="E15" s="29">
        <v>91.3</v>
      </c>
      <c r="F15" s="29">
        <v>98.2</v>
      </c>
      <c r="G15" s="24">
        <v>25100297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5"/>
  </dataValidations>
  <pageMargins left="0.75" right="0.75" top="1" bottom="1" header="0.5" footer="0.5"/>
  <pageSetup paperSize="9" orientation="portrait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O17" sqref="O16:O17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1107</v>
      </c>
      <c r="B1" s="61">
        <f>SUM(B3:B30)</f>
        <v>3621.8</v>
      </c>
      <c r="C1" s="3" cm="1">
        <f t="array" ref="C1">SUMPRODUCT(C3:C30*B3:B30)/B1</f>
        <v>262.712170743829</v>
      </c>
      <c r="D1" s="4" cm="1">
        <f t="array" ref="D1">SUMPRODUCT(B3:B30*D3:D30)/B1</f>
        <v>5.06694792644541</v>
      </c>
      <c r="E1" s="3" cm="1">
        <f t="array" ref="E1">SUMPRODUCT(B3:B30*E3:E30)/B1</f>
        <v>88.2154674471257</v>
      </c>
      <c r="F1" s="3" cm="1">
        <f t="array" ref="F1">SUMPRODUCT(B3:B30*F3:F30)/B1</f>
        <v>96.2002484952234</v>
      </c>
    </row>
    <row r="2" ht="16.5" spans="1:7">
      <c r="A2" s="5">
        <v>250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69" t="s">
        <v>2773</v>
      </c>
      <c r="B3" s="24">
        <v>199.8</v>
      </c>
      <c r="C3" s="28">
        <v>222.7</v>
      </c>
      <c r="D3" s="25">
        <v>3.91</v>
      </c>
      <c r="E3" s="29">
        <v>89.8</v>
      </c>
      <c r="F3" s="29">
        <v>96.3</v>
      </c>
      <c r="G3" s="24">
        <v>24090004</v>
      </c>
    </row>
    <row r="4" ht="16.5" spans="1:7">
      <c r="A4" s="69" t="s">
        <v>2774</v>
      </c>
      <c r="B4" s="24">
        <v>182.4</v>
      </c>
      <c r="C4" s="28">
        <v>226.2</v>
      </c>
      <c r="D4" s="25">
        <v>5.37</v>
      </c>
      <c r="E4" s="29">
        <v>76</v>
      </c>
      <c r="F4" s="29">
        <v>89.9</v>
      </c>
      <c r="G4" s="24">
        <v>24090031</v>
      </c>
    </row>
    <row r="5" ht="16.5" spans="1:7">
      <c r="A5" s="69" t="s">
        <v>2775</v>
      </c>
      <c r="B5" s="24">
        <v>540.2</v>
      </c>
      <c r="C5" s="28">
        <v>274.3</v>
      </c>
      <c r="D5" s="25">
        <v>5.76</v>
      </c>
      <c r="E5" s="29">
        <v>96</v>
      </c>
      <c r="F5" s="29">
        <v>99.4</v>
      </c>
      <c r="G5" s="24">
        <v>24090146</v>
      </c>
    </row>
    <row r="6" ht="16.5" spans="1:7">
      <c r="A6" s="69" t="s">
        <v>2776</v>
      </c>
      <c r="B6" s="24">
        <v>190.8</v>
      </c>
      <c r="C6" s="28">
        <v>259.8</v>
      </c>
      <c r="D6" s="25">
        <v>4.86</v>
      </c>
      <c r="E6" s="29">
        <v>89.6</v>
      </c>
      <c r="F6" s="29">
        <v>97.5</v>
      </c>
      <c r="G6" s="24">
        <v>25060325</v>
      </c>
    </row>
    <row r="7" ht="16.5" spans="1:7">
      <c r="A7" s="69" t="s">
        <v>2777</v>
      </c>
      <c r="B7" s="24">
        <v>359.6</v>
      </c>
      <c r="C7" s="28">
        <v>286.2</v>
      </c>
      <c r="D7" s="25">
        <v>4.94</v>
      </c>
      <c r="E7" s="29">
        <v>87.9</v>
      </c>
      <c r="F7" s="29">
        <v>95.3</v>
      </c>
      <c r="G7" s="24">
        <v>25100062</v>
      </c>
    </row>
    <row r="8" ht="16.5" spans="1:7">
      <c r="A8" s="30" t="s">
        <v>2778</v>
      </c>
      <c r="B8" s="24">
        <v>319</v>
      </c>
      <c r="C8" s="28">
        <v>248.6</v>
      </c>
      <c r="D8" s="25">
        <v>5.52</v>
      </c>
      <c r="E8" s="29">
        <v>73.9</v>
      </c>
      <c r="F8" s="29">
        <v>89.4</v>
      </c>
      <c r="G8" s="24">
        <v>25100084</v>
      </c>
    </row>
    <row r="9" ht="16.5" spans="1:7">
      <c r="A9" s="30" t="s">
        <v>2779</v>
      </c>
      <c r="B9" s="24">
        <v>225</v>
      </c>
      <c r="C9" s="28">
        <v>273</v>
      </c>
      <c r="D9" s="25">
        <v>4.29</v>
      </c>
      <c r="E9" s="29">
        <v>91.1</v>
      </c>
      <c r="F9" s="29">
        <v>98.4</v>
      </c>
      <c r="G9" s="24">
        <v>25100181</v>
      </c>
    </row>
    <row r="10" ht="16.5" spans="1:7">
      <c r="A10" s="30" t="s">
        <v>2780</v>
      </c>
      <c r="B10" s="24">
        <v>477</v>
      </c>
      <c r="C10" s="28">
        <v>268</v>
      </c>
      <c r="D10" s="25">
        <v>5.33</v>
      </c>
      <c r="E10" s="29">
        <v>87.1</v>
      </c>
      <c r="F10" s="29">
        <v>96</v>
      </c>
      <c r="G10" s="24">
        <v>25100279</v>
      </c>
    </row>
    <row r="11" ht="16.5" spans="1:7">
      <c r="A11" s="30" t="s">
        <v>2781</v>
      </c>
      <c r="B11" s="24">
        <v>341.4</v>
      </c>
      <c r="C11" s="28">
        <v>259.5</v>
      </c>
      <c r="D11" s="25">
        <v>5.35</v>
      </c>
      <c r="E11" s="29">
        <v>84.3</v>
      </c>
      <c r="F11" s="29">
        <v>94.3</v>
      </c>
      <c r="G11" s="24">
        <v>25100280</v>
      </c>
    </row>
    <row r="12" ht="16.5" spans="1:7">
      <c r="A12" s="30" t="s">
        <v>2782</v>
      </c>
      <c r="B12" s="24">
        <v>215.2</v>
      </c>
      <c r="C12" s="28">
        <v>274.2</v>
      </c>
      <c r="D12" s="25">
        <v>4.57</v>
      </c>
      <c r="E12" s="29">
        <v>92.9</v>
      </c>
      <c r="F12" s="29">
        <v>98.9</v>
      </c>
      <c r="G12" s="24">
        <v>25100290</v>
      </c>
    </row>
    <row r="13" ht="16.5" spans="1:7">
      <c r="A13" s="30" t="s">
        <v>2783</v>
      </c>
      <c r="B13" s="24">
        <v>571.4</v>
      </c>
      <c r="C13" s="28">
        <v>260.6</v>
      </c>
      <c r="D13" s="25">
        <v>4.72</v>
      </c>
      <c r="E13" s="29">
        <v>92.3</v>
      </c>
      <c r="F13" s="29">
        <v>98.5</v>
      </c>
      <c r="G13" s="24">
        <v>25100293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3"/>
  </dataValidations>
  <pageMargins left="0.75" right="0.75" top="1" bottom="1" header="0.5" footer="0.5"/>
  <pageSetup paperSize="9" orientation="portrait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20" sqref="A20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1108</v>
      </c>
      <c r="B1" s="61">
        <f>SUM(B3:B30)</f>
        <v>3722.6</v>
      </c>
      <c r="C1" s="3" cm="1">
        <f t="array" ref="C1">SUMPRODUCT(C3:C30*B3:B30)/B1</f>
        <v>263.450754848762</v>
      </c>
      <c r="D1" s="4" cm="1">
        <f t="array" ref="D1">SUMPRODUCT(B3:B30*D3:D30)/B1</f>
        <v>5.07525707838607</v>
      </c>
      <c r="E1" s="3" cm="1">
        <f t="array" ref="E1">SUMPRODUCT(B3:B30*E3:E30)/B1</f>
        <v>83.263095685811</v>
      </c>
      <c r="F1" s="3" cm="1">
        <f t="array" ref="F1">SUMPRODUCT(B3:B30*F3:F30)/B1</f>
        <v>93.9656906463225</v>
      </c>
    </row>
    <row r="2" ht="16.5" spans="1:7">
      <c r="A2" s="5">
        <v>250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69" t="s">
        <v>2784</v>
      </c>
      <c r="B3" s="24">
        <v>485.4</v>
      </c>
      <c r="C3" s="28">
        <v>270.2</v>
      </c>
      <c r="D3" s="25">
        <v>4.91</v>
      </c>
      <c r="E3" s="29">
        <v>96.4</v>
      </c>
      <c r="F3" s="29">
        <v>99.4</v>
      </c>
      <c r="G3" s="24">
        <v>24090121</v>
      </c>
    </row>
    <row r="4" ht="16.5" spans="1:7">
      <c r="A4" s="69" t="s">
        <v>2785</v>
      </c>
      <c r="B4" s="24">
        <v>702</v>
      </c>
      <c r="C4" s="28">
        <v>239.4</v>
      </c>
      <c r="D4" s="25">
        <v>5.33</v>
      </c>
      <c r="E4" s="29">
        <v>76.8</v>
      </c>
      <c r="F4" s="29">
        <v>91.5</v>
      </c>
      <c r="G4" s="24">
        <v>25100003</v>
      </c>
    </row>
    <row r="5" ht="16.5" spans="1:7">
      <c r="A5" s="69" t="s">
        <v>2786</v>
      </c>
      <c r="B5" s="24">
        <v>632</v>
      </c>
      <c r="C5" s="28">
        <v>279.5</v>
      </c>
      <c r="D5" s="25">
        <v>5.08</v>
      </c>
      <c r="E5" s="29">
        <v>78.3</v>
      </c>
      <c r="F5" s="29">
        <v>91.8</v>
      </c>
      <c r="G5" s="24">
        <v>25100016</v>
      </c>
    </row>
    <row r="6" ht="16.5" spans="1:7">
      <c r="A6" s="69" t="s">
        <v>2787</v>
      </c>
      <c r="B6" s="24">
        <v>649.8</v>
      </c>
      <c r="C6" s="28">
        <v>288.5</v>
      </c>
      <c r="D6" s="25">
        <v>5.55</v>
      </c>
      <c r="E6" s="29">
        <v>81.8</v>
      </c>
      <c r="F6" s="29">
        <v>93.3</v>
      </c>
      <c r="G6" s="24">
        <v>25100047</v>
      </c>
    </row>
    <row r="7" ht="16.5" spans="1:7">
      <c r="A7" s="30" t="s">
        <v>2788</v>
      </c>
      <c r="B7" s="24">
        <v>185.6</v>
      </c>
      <c r="C7" s="28">
        <v>279.6</v>
      </c>
      <c r="D7" s="25">
        <v>4.66</v>
      </c>
      <c r="E7" s="29">
        <v>92.5</v>
      </c>
      <c r="F7" s="29">
        <v>98.5</v>
      </c>
      <c r="G7" s="24">
        <v>25100076</v>
      </c>
    </row>
    <row r="8" ht="16.5" spans="1:7">
      <c r="A8" s="30" t="s">
        <v>2789</v>
      </c>
      <c r="B8" s="24">
        <v>271</v>
      </c>
      <c r="C8" s="28">
        <v>266.4</v>
      </c>
      <c r="D8" s="25">
        <v>5.22</v>
      </c>
      <c r="E8" s="29">
        <v>86.6</v>
      </c>
      <c r="F8" s="29">
        <v>95.9</v>
      </c>
      <c r="G8" s="24">
        <v>25100082</v>
      </c>
    </row>
    <row r="9" ht="16.5" spans="1:7">
      <c r="A9" s="30" t="s">
        <v>2790</v>
      </c>
      <c r="B9" s="24">
        <v>235.6</v>
      </c>
      <c r="C9" s="28">
        <v>240</v>
      </c>
      <c r="D9" s="25">
        <v>4.27</v>
      </c>
      <c r="E9" s="29">
        <v>89.7</v>
      </c>
      <c r="F9" s="29">
        <v>97.6</v>
      </c>
      <c r="G9" s="24">
        <v>25100140</v>
      </c>
    </row>
    <row r="10" ht="16.5" spans="1:7">
      <c r="A10" s="30" t="s">
        <v>2791</v>
      </c>
      <c r="B10" s="24">
        <v>561.2</v>
      </c>
      <c r="C10" s="28">
        <v>243.7</v>
      </c>
      <c r="D10" s="25">
        <v>4.75</v>
      </c>
      <c r="E10" s="29">
        <v>79.9</v>
      </c>
      <c r="F10" s="29">
        <v>91.6</v>
      </c>
      <c r="G10" s="24">
        <v>25100201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0"/>
  </dataValidations>
  <pageMargins left="0.75" right="0.75" top="1" bottom="1" header="0.5" footer="0.5"/>
  <pageSetup paperSize="9" orientation="portrait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E28" sqref="E28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1109</v>
      </c>
      <c r="B1" s="61">
        <f>SUM(B3:B30)</f>
        <v>7237.8</v>
      </c>
      <c r="C1" s="3" cm="1">
        <f t="array" ref="C1">SUMPRODUCT(C3:C30*B3:B30)/B1</f>
        <v>262.34583436956</v>
      </c>
      <c r="D1" s="4" cm="1">
        <f t="array" ref="D1">SUMPRODUCT(B3:B30*D3:D30)/B1</f>
        <v>5.07485423747548</v>
      </c>
      <c r="E1" s="3" cm="1">
        <f t="array" ref="E1">SUMPRODUCT(B3:B30*E3:E30)/B1</f>
        <v>87.3851861062754</v>
      </c>
      <c r="F1" s="3" cm="1">
        <f t="array" ref="F1">SUMPRODUCT(B3:B30*F3:F30)/B1</f>
        <v>96.5090745806737</v>
      </c>
    </row>
    <row r="2" ht="16.5" spans="1:7">
      <c r="A2" s="5">
        <v>250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30" t="s">
        <v>2792</v>
      </c>
      <c r="B3" s="24">
        <v>156</v>
      </c>
      <c r="C3" s="28">
        <v>241.2</v>
      </c>
      <c r="D3" s="25">
        <v>5.16</v>
      </c>
      <c r="E3" s="29">
        <v>82.9</v>
      </c>
      <c r="F3" s="29">
        <v>94</v>
      </c>
      <c r="G3" s="24">
        <v>24050414</v>
      </c>
    </row>
    <row r="4" ht="16.5" spans="1:7">
      <c r="A4" s="69" t="s">
        <v>2793</v>
      </c>
      <c r="B4" s="24">
        <v>535</v>
      </c>
      <c r="C4" s="28">
        <v>236.2</v>
      </c>
      <c r="D4" s="25">
        <v>5.44</v>
      </c>
      <c r="E4" s="29">
        <v>77.9</v>
      </c>
      <c r="F4" s="29">
        <v>90.7</v>
      </c>
      <c r="G4" s="24">
        <v>24090030</v>
      </c>
    </row>
    <row r="5" ht="16.5" spans="1:7">
      <c r="A5" s="69" t="s">
        <v>2794</v>
      </c>
      <c r="B5" s="24">
        <v>346.4</v>
      </c>
      <c r="C5" s="28">
        <v>285.6</v>
      </c>
      <c r="D5" s="25">
        <v>5.08</v>
      </c>
      <c r="E5" s="29">
        <v>96.2</v>
      </c>
      <c r="F5" s="29">
        <v>99.4</v>
      </c>
      <c r="G5" s="24">
        <v>24090119</v>
      </c>
    </row>
    <row r="6" ht="16.5" spans="1:7">
      <c r="A6" s="30" t="s">
        <v>2795</v>
      </c>
      <c r="B6" s="24">
        <v>527</v>
      </c>
      <c r="C6" s="28">
        <v>268.1</v>
      </c>
      <c r="D6" s="25">
        <v>5.13</v>
      </c>
      <c r="E6" s="29">
        <v>87.9</v>
      </c>
      <c r="F6" s="29">
        <v>96.8</v>
      </c>
      <c r="G6" s="24">
        <v>25010096</v>
      </c>
    </row>
    <row r="7" ht="16.5" spans="1:7">
      <c r="A7" s="104" t="s">
        <v>2796</v>
      </c>
      <c r="B7" s="24">
        <v>504.2</v>
      </c>
      <c r="C7" s="28">
        <v>258.6</v>
      </c>
      <c r="D7" s="25">
        <v>4.77</v>
      </c>
      <c r="E7" s="29">
        <v>91.3</v>
      </c>
      <c r="F7" s="29">
        <v>98.7</v>
      </c>
      <c r="G7" s="24">
        <v>25010148</v>
      </c>
    </row>
    <row r="8" ht="16.5" spans="1:7">
      <c r="A8" s="30" t="s">
        <v>2797</v>
      </c>
      <c r="B8" s="24">
        <v>533.2</v>
      </c>
      <c r="C8" s="28">
        <v>258.3</v>
      </c>
      <c r="D8" s="25">
        <v>5.3</v>
      </c>
      <c r="E8" s="29">
        <v>88.3</v>
      </c>
      <c r="F8" s="29">
        <v>96.8</v>
      </c>
      <c r="G8" s="24">
        <v>25010212</v>
      </c>
    </row>
    <row r="9" ht="16.5" spans="1:7">
      <c r="A9" s="30" t="s">
        <v>2798</v>
      </c>
      <c r="B9" s="24">
        <v>442</v>
      </c>
      <c r="C9" s="28">
        <v>277.1</v>
      </c>
      <c r="D9" s="25">
        <v>5.16</v>
      </c>
      <c r="E9" s="29">
        <v>90.2</v>
      </c>
      <c r="F9" s="29">
        <v>98.1</v>
      </c>
      <c r="G9" s="24">
        <v>25010315</v>
      </c>
    </row>
    <row r="10" ht="16.5" spans="1:7">
      <c r="A10" s="30" t="s">
        <v>2799</v>
      </c>
      <c r="B10" s="24">
        <v>558.8</v>
      </c>
      <c r="C10" s="28">
        <v>278.9</v>
      </c>
      <c r="D10" s="25">
        <v>5.11</v>
      </c>
      <c r="E10" s="29">
        <v>90</v>
      </c>
      <c r="F10" s="29">
        <v>97.6</v>
      </c>
      <c r="G10" s="24">
        <v>25010350</v>
      </c>
    </row>
    <row r="11" ht="16.5" spans="1:7">
      <c r="A11" s="30" t="s">
        <v>2800</v>
      </c>
      <c r="B11" s="24">
        <v>552.6</v>
      </c>
      <c r="C11" s="28">
        <v>288.6</v>
      </c>
      <c r="D11" s="25">
        <v>5.08</v>
      </c>
      <c r="E11" s="29">
        <v>92.6</v>
      </c>
      <c r="F11" s="29">
        <v>99</v>
      </c>
      <c r="G11" s="24">
        <v>25010403</v>
      </c>
    </row>
    <row r="12" ht="16.5" spans="1:7">
      <c r="A12" s="30" t="s">
        <v>2801</v>
      </c>
      <c r="B12" s="24">
        <v>501.4</v>
      </c>
      <c r="C12" s="28">
        <v>267.7</v>
      </c>
      <c r="D12" s="25">
        <v>5.27</v>
      </c>
      <c r="E12" s="29">
        <v>91.4</v>
      </c>
      <c r="F12" s="29">
        <v>98.5</v>
      </c>
      <c r="G12" s="24">
        <v>25020298</v>
      </c>
    </row>
    <row r="13" ht="16.5" spans="1:7">
      <c r="A13" s="107" t="s">
        <v>2802</v>
      </c>
      <c r="B13" s="24">
        <v>541.2</v>
      </c>
      <c r="C13" s="28">
        <v>270.5</v>
      </c>
      <c r="D13" s="25">
        <v>3.82</v>
      </c>
      <c r="E13" s="29">
        <v>88.4</v>
      </c>
      <c r="F13" s="29">
        <v>97.2</v>
      </c>
      <c r="G13" s="24">
        <v>25040410</v>
      </c>
    </row>
    <row r="14" ht="16.5" spans="1:7">
      <c r="A14" s="31" t="s">
        <v>2803</v>
      </c>
      <c r="B14" s="24">
        <v>728.6</v>
      </c>
      <c r="C14" s="28">
        <v>252.2</v>
      </c>
      <c r="D14" s="25">
        <v>4.43</v>
      </c>
      <c r="E14" s="29">
        <v>89.3</v>
      </c>
      <c r="F14" s="29">
        <v>98.3</v>
      </c>
      <c r="G14" s="24">
        <v>25060078</v>
      </c>
    </row>
    <row r="15" ht="16.5" spans="1:7">
      <c r="A15" s="69" t="s">
        <v>2804</v>
      </c>
      <c r="B15" s="24">
        <v>715</v>
      </c>
      <c r="C15" s="28">
        <v>243.2</v>
      </c>
      <c r="D15" s="25">
        <v>5.76</v>
      </c>
      <c r="E15" s="29">
        <v>84.1</v>
      </c>
      <c r="F15" s="29">
        <v>95.7</v>
      </c>
      <c r="G15" s="24">
        <v>25060298</v>
      </c>
    </row>
    <row r="16" ht="16.5" spans="1:7">
      <c r="A16" s="30" t="s">
        <v>2805</v>
      </c>
      <c r="B16" s="24">
        <v>596.4</v>
      </c>
      <c r="C16" s="28">
        <v>252.2</v>
      </c>
      <c r="D16" s="25">
        <v>5.57</v>
      </c>
      <c r="E16" s="29">
        <v>75.3</v>
      </c>
      <c r="F16" s="29">
        <v>90.3</v>
      </c>
      <c r="G16" s="24">
        <v>25100083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0 B3:C9 B11:C16"/>
  </dataValidations>
  <pageMargins left="0.75" right="0.75" top="1" bottom="1" header="0.5" footer="0.5"/>
  <pageSetup paperSize="9" orientation="portrait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K21" sqref="K21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1109</v>
      </c>
      <c r="B1" s="61">
        <f>SUM(B3:B30)</f>
        <v>6060.6</v>
      </c>
      <c r="C1" s="3" cm="1">
        <f t="array" ref="C1">SUMPRODUCT(C3:C30*B3:B30)/B1</f>
        <v>262.906715506716</v>
      </c>
      <c r="D1" s="4" cm="1">
        <f t="array" ref="D1">SUMPRODUCT(B3:B30*D3:D30)/B1</f>
        <v>5.055907995908</v>
      </c>
      <c r="E1" s="3" cm="1">
        <f t="array" ref="E1">SUMPRODUCT(B3:B30*E3:E30)/B1</f>
        <v>86.7477378477378</v>
      </c>
      <c r="F1" s="3" cm="1">
        <f t="array" ref="F1">SUMPRODUCT(B3:B30*F3:F30)/B1</f>
        <v>96.8502392502392</v>
      </c>
    </row>
    <row r="2" ht="16.5" spans="1:7">
      <c r="A2" s="5">
        <v>250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27" t="s">
        <v>2806</v>
      </c>
      <c r="B3" s="24">
        <v>499</v>
      </c>
      <c r="C3" s="28">
        <v>244.5</v>
      </c>
      <c r="D3" s="25">
        <v>4.63</v>
      </c>
      <c r="E3" s="29">
        <v>83.2</v>
      </c>
      <c r="F3" s="29">
        <v>96.6</v>
      </c>
      <c r="G3" s="24">
        <v>24110343</v>
      </c>
    </row>
    <row r="4" ht="16.5" spans="1:7">
      <c r="A4" s="27" t="s">
        <v>2807</v>
      </c>
      <c r="B4" s="24">
        <v>487</v>
      </c>
      <c r="C4" s="28">
        <v>241.3</v>
      </c>
      <c r="D4" s="25">
        <v>4.61</v>
      </c>
      <c r="E4" s="29">
        <v>83.3</v>
      </c>
      <c r="F4" s="29">
        <v>96.9</v>
      </c>
      <c r="G4" s="24">
        <v>24110344</v>
      </c>
    </row>
    <row r="5" ht="16.5" spans="1:7">
      <c r="A5" s="30" t="s">
        <v>2808</v>
      </c>
      <c r="B5" s="24">
        <v>498.4</v>
      </c>
      <c r="C5" s="28">
        <v>287.9</v>
      </c>
      <c r="D5" s="25">
        <v>5.49</v>
      </c>
      <c r="E5" s="29">
        <v>87.1</v>
      </c>
      <c r="F5" s="29">
        <v>97.1</v>
      </c>
      <c r="G5" s="24">
        <v>24120509</v>
      </c>
    </row>
    <row r="6" ht="16.5" spans="1:7">
      <c r="A6" s="30" t="s">
        <v>2809</v>
      </c>
      <c r="B6" s="24">
        <v>263.4</v>
      </c>
      <c r="C6" s="28">
        <v>261</v>
      </c>
      <c r="D6" s="25">
        <v>5.22</v>
      </c>
      <c r="E6" s="29">
        <v>89.7</v>
      </c>
      <c r="F6" s="29">
        <v>97.8</v>
      </c>
      <c r="G6" s="24">
        <v>24120628</v>
      </c>
    </row>
    <row r="7" ht="16.5" spans="1:7">
      <c r="A7" s="30" t="s">
        <v>2810</v>
      </c>
      <c r="B7" s="24">
        <v>503</v>
      </c>
      <c r="C7" s="28">
        <v>251.6</v>
      </c>
      <c r="D7" s="25">
        <v>5.19</v>
      </c>
      <c r="E7" s="29">
        <v>89.6</v>
      </c>
      <c r="F7" s="29">
        <v>97.6</v>
      </c>
      <c r="G7" s="24">
        <v>24120626</v>
      </c>
    </row>
    <row r="8" ht="16.5" spans="1:7">
      <c r="A8" s="30" t="s">
        <v>2811</v>
      </c>
      <c r="B8" s="24">
        <v>518.6</v>
      </c>
      <c r="C8" s="28">
        <v>269.4</v>
      </c>
      <c r="D8" s="25">
        <v>5.57</v>
      </c>
      <c r="E8" s="29">
        <v>88.7</v>
      </c>
      <c r="F8" s="29">
        <v>98</v>
      </c>
      <c r="G8" s="24">
        <v>25010017</v>
      </c>
    </row>
    <row r="9" ht="16.5" spans="1:7">
      <c r="A9" s="30" t="s">
        <v>2812</v>
      </c>
      <c r="B9" s="24">
        <v>507.4</v>
      </c>
      <c r="C9" s="28">
        <v>261.6</v>
      </c>
      <c r="D9" s="25">
        <v>5.38</v>
      </c>
      <c r="E9" s="29">
        <v>89</v>
      </c>
      <c r="F9" s="29">
        <v>97.6</v>
      </c>
      <c r="G9" s="24">
        <v>25010071</v>
      </c>
    </row>
    <row r="10" ht="16.5" spans="1:7">
      <c r="A10" s="30" t="s">
        <v>2813</v>
      </c>
      <c r="B10" s="24">
        <v>517.4</v>
      </c>
      <c r="C10" s="28">
        <v>258.9</v>
      </c>
      <c r="D10" s="25">
        <v>5.19</v>
      </c>
      <c r="E10" s="29">
        <v>88.4</v>
      </c>
      <c r="F10" s="29">
        <v>97</v>
      </c>
      <c r="G10" s="24">
        <v>25010211</v>
      </c>
    </row>
    <row r="11" ht="16.5" spans="1:7">
      <c r="A11" s="30" t="s">
        <v>2814</v>
      </c>
      <c r="B11" s="24">
        <v>510.2</v>
      </c>
      <c r="C11" s="28">
        <v>273.8</v>
      </c>
      <c r="D11" s="25">
        <v>5.44</v>
      </c>
      <c r="E11" s="29">
        <v>90.5</v>
      </c>
      <c r="F11" s="29">
        <v>98.5</v>
      </c>
      <c r="G11" s="24">
        <v>25010235</v>
      </c>
    </row>
    <row r="12" ht="16.5" spans="1:7">
      <c r="A12" s="30" t="s">
        <v>1504</v>
      </c>
      <c r="B12" s="24">
        <v>488.8</v>
      </c>
      <c r="C12" s="28">
        <v>265.8</v>
      </c>
      <c r="D12" s="25">
        <v>5.11</v>
      </c>
      <c r="E12" s="29">
        <v>87.9</v>
      </c>
      <c r="F12" s="29">
        <v>97.2</v>
      </c>
      <c r="G12" s="24">
        <v>25030299</v>
      </c>
    </row>
    <row r="13" ht="16.5" spans="1:7">
      <c r="A13" s="30" t="s">
        <v>2815</v>
      </c>
      <c r="B13" s="24">
        <v>203</v>
      </c>
      <c r="C13" s="28">
        <v>256.7</v>
      </c>
      <c r="D13" s="25">
        <v>4.23</v>
      </c>
      <c r="E13" s="29">
        <v>88.1</v>
      </c>
      <c r="F13" s="29">
        <v>96.8</v>
      </c>
      <c r="G13" s="24">
        <v>25030482</v>
      </c>
    </row>
    <row r="14" ht="16.5" spans="1:7">
      <c r="A14" s="104" t="s">
        <v>2816</v>
      </c>
      <c r="B14" s="24">
        <v>390.8</v>
      </c>
      <c r="C14" s="28">
        <v>253.5</v>
      </c>
      <c r="D14" s="25">
        <v>4.77</v>
      </c>
      <c r="E14" s="29">
        <v>79.8</v>
      </c>
      <c r="F14" s="29">
        <v>93.8</v>
      </c>
      <c r="G14" s="24">
        <v>25070118</v>
      </c>
    </row>
    <row r="15" ht="16.5" spans="1:7">
      <c r="A15" s="69" t="s">
        <v>2817</v>
      </c>
      <c r="B15" s="24">
        <v>673.6</v>
      </c>
      <c r="C15" s="28">
        <v>278.9</v>
      </c>
      <c r="D15" s="25">
        <v>4.55</v>
      </c>
      <c r="E15" s="29">
        <v>83.8</v>
      </c>
      <c r="F15" s="29">
        <v>94.6</v>
      </c>
      <c r="G15" s="24">
        <v>25100029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4 B15:C15 B3:C13"/>
  </dataValidations>
  <pageMargins left="0.75" right="0.75" top="1" bottom="1" header="0.5" footer="0.5"/>
  <pageSetup paperSize="9" orientation="portrait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workbookViewId="0">
      <selection activeCell="J28" sqref="J28"/>
    </sheetView>
  </sheetViews>
  <sheetFormatPr defaultColWidth="9" defaultRowHeight="13.5"/>
  <cols>
    <col min="1" max="1" width="15.625" customWidth="1"/>
    <col min="8" max="8" width="9.375"/>
    <col min="10" max="10" width="15.625" customWidth="1"/>
  </cols>
  <sheetData>
    <row r="1" ht="16.5" spans="1:17">
      <c r="A1" s="1">
        <v>1111</v>
      </c>
      <c r="B1" s="2">
        <f>SUM(B3:B30)</f>
        <v>10012.2</v>
      </c>
      <c r="C1" s="3" cm="1">
        <f t="array" ref="C1">SUMPRODUCT(C3:C30*B3:B30)/B1</f>
        <v>175.850818002037</v>
      </c>
      <c r="D1" s="4" cm="1">
        <f t="array" ref="D1">SUMPRODUCT(B3:B30*D3:D30)/B1</f>
        <v>4.01383611993368</v>
      </c>
      <c r="E1" s="3" cm="1">
        <f t="array" ref="E1">SUMPRODUCT(B3:B30*E3:E30)/B1</f>
        <v>79.6863546473302</v>
      </c>
      <c r="F1" s="3" cm="1">
        <f t="array" ref="F1">SUMPRODUCT(B3:B30*F3:F30)/B1</f>
        <v>93.630303030303</v>
      </c>
      <c r="G1" s="3" cm="1">
        <f t="array" ref="G1">SUMPRODUCT(B3:B30*G3:G30)/B1</f>
        <v>11.5404368670222</v>
      </c>
      <c r="J1" s="1">
        <v>1112</v>
      </c>
      <c r="K1" s="2">
        <f>SUM(K3:K30)</f>
        <v>10326.4</v>
      </c>
      <c r="L1" s="3" cm="1">
        <f t="array" ref="L1">SUMPRODUCT(L3:L30*K3:K30)/K1</f>
        <v>156.915660830493</v>
      </c>
      <c r="M1" s="4" cm="1">
        <f t="array" ref="M1">SUMPRODUCT(K3:K30*M3:M30)/K1</f>
        <v>3.78803745739077</v>
      </c>
      <c r="N1" s="3" cm="1">
        <f t="array" ref="N1">SUMPRODUCT(K3:K30*N3:N30)/K1</f>
        <v>78.4253951038116</v>
      </c>
      <c r="O1" s="3" cm="1">
        <f t="array" ref="O1">SUMPRODUCT(K3:K30*O3:O30)/K1</f>
        <v>93.591034629687</v>
      </c>
      <c r="P1" s="3" cm="1">
        <f t="array" ref="P1">SUMPRODUCT(K3:K30*P3:P30)/K1</f>
        <v>11.9723181360397</v>
      </c>
    </row>
    <row r="2" ht="16.5" spans="1:17">
      <c r="A2" s="5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  <c r="J2" s="5">
        <v>140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  <c r="P2" s="6" t="s">
        <v>19</v>
      </c>
    </row>
    <row r="3" ht="16.5" spans="1:17">
      <c r="A3" s="30" t="s">
        <v>2818</v>
      </c>
      <c r="B3" s="24">
        <v>567.2</v>
      </c>
      <c r="C3" s="28">
        <v>104.4</v>
      </c>
      <c r="D3" s="25">
        <v>3.46</v>
      </c>
      <c r="E3" s="29">
        <v>70.2</v>
      </c>
      <c r="F3" s="29">
        <v>90.4</v>
      </c>
      <c r="G3" s="25">
        <v>11.92</v>
      </c>
      <c r="H3" s="24">
        <v>24050029</v>
      </c>
      <c r="J3" s="30" t="s">
        <v>2819</v>
      </c>
      <c r="K3" s="24">
        <v>362.6</v>
      </c>
      <c r="L3" s="28">
        <v>80.9</v>
      </c>
      <c r="M3" s="25">
        <v>2.44</v>
      </c>
      <c r="N3" s="29">
        <v>77.3</v>
      </c>
      <c r="O3" s="29">
        <v>94.1</v>
      </c>
      <c r="P3" s="25">
        <v>11.7</v>
      </c>
      <c r="Q3" s="24">
        <v>24020017</v>
      </c>
    </row>
    <row r="4" ht="16.5" spans="1:17">
      <c r="A4" s="104" t="s">
        <v>2820</v>
      </c>
      <c r="B4" s="105">
        <v>567</v>
      </c>
      <c r="C4" s="29">
        <v>180.2</v>
      </c>
      <c r="D4" s="106">
        <v>5.55</v>
      </c>
      <c r="E4" s="29">
        <v>71.9</v>
      </c>
      <c r="F4" s="29">
        <v>89.7</v>
      </c>
      <c r="G4" s="106">
        <v>12.52</v>
      </c>
      <c r="H4" s="24">
        <v>24050346</v>
      </c>
      <c r="J4" s="30" t="s">
        <v>2821</v>
      </c>
      <c r="K4" s="24">
        <v>555</v>
      </c>
      <c r="L4" s="28">
        <v>92.6</v>
      </c>
      <c r="M4" s="25">
        <v>3.15</v>
      </c>
      <c r="N4" s="29">
        <v>56.4</v>
      </c>
      <c r="O4" s="29">
        <v>82.8</v>
      </c>
      <c r="P4" s="25">
        <v>13.21</v>
      </c>
      <c r="Q4" s="24">
        <v>24040297</v>
      </c>
    </row>
    <row r="5" ht="16.5" spans="1:17">
      <c r="A5" s="30" t="s">
        <v>2822</v>
      </c>
      <c r="B5" s="24">
        <v>504</v>
      </c>
      <c r="C5" s="28">
        <v>211.8</v>
      </c>
      <c r="D5" s="25">
        <v>5.57</v>
      </c>
      <c r="E5" s="29">
        <v>71.9</v>
      </c>
      <c r="F5" s="29">
        <v>90.2</v>
      </c>
      <c r="G5" s="25">
        <v>11.97</v>
      </c>
      <c r="H5" s="24">
        <v>25010132</v>
      </c>
      <c r="J5" s="30" t="s">
        <v>2823</v>
      </c>
      <c r="K5" s="24">
        <v>519</v>
      </c>
      <c r="L5" s="28">
        <v>91.2</v>
      </c>
      <c r="M5" s="25">
        <v>3.21</v>
      </c>
      <c r="N5" s="29">
        <v>68.3</v>
      </c>
      <c r="O5" s="29">
        <v>90</v>
      </c>
      <c r="P5" s="25">
        <v>11.72</v>
      </c>
      <c r="Q5" s="24">
        <v>24050061</v>
      </c>
    </row>
    <row r="6" ht="16.5" spans="1:17">
      <c r="A6" s="30" t="s">
        <v>2824</v>
      </c>
      <c r="B6" s="24">
        <v>518.4</v>
      </c>
      <c r="C6" s="28">
        <v>98.6</v>
      </c>
      <c r="D6" s="25">
        <v>2.64</v>
      </c>
      <c r="E6" s="29">
        <v>73.9</v>
      </c>
      <c r="F6" s="29">
        <v>92.4</v>
      </c>
      <c r="G6" s="25">
        <v>11.2</v>
      </c>
      <c r="H6" s="24">
        <v>25010503</v>
      </c>
      <c r="J6" s="30" t="s">
        <v>2825</v>
      </c>
      <c r="K6" s="24">
        <v>545.4</v>
      </c>
      <c r="L6" s="28">
        <v>93.3</v>
      </c>
      <c r="M6" s="25">
        <v>3.31</v>
      </c>
      <c r="N6" s="29">
        <v>68.6</v>
      </c>
      <c r="O6" s="29">
        <v>90.3</v>
      </c>
      <c r="P6" s="25">
        <v>11.79</v>
      </c>
      <c r="Q6" s="24">
        <v>24050060</v>
      </c>
    </row>
    <row r="7" ht="16.5" spans="1:17">
      <c r="A7" s="30" t="s">
        <v>2826</v>
      </c>
      <c r="B7" s="24">
        <v>483.8</v>
      </c>
      <c r="C7" s="28">
        <v>253.8</v>
      </c>
      <c r="D7" s="25">
        <v>4.69</v>
      </c>
      <c r="E7" s="29">
        <v>90.3</v>
      </c>
      <c r="F7" s="29">
        <v>98.8</v>
      </c>
      <c r="G7" s="25">
        <v>11.14</v>
      </c>
      <c r="H7" s="24">
        <v>25020119</v>
      </c>
      <c r="J7" s="30" t="s">
        <v>2827</v>
      </c>
      <c r="K7" s="24">
        <v>342</v>
      </c>
      <c r="L7" s="28">
        <v>88.8</v>
      </c>
      <c r="M7" s="25">
        <v>3.03</v>
      </c>
      <c r="N7" s="29">
        <v>61</v>
      </c>
      <c r="O7" s="29">
        <v>84.3</v>
      </c>
      <c r="P7" s="25">
        <v>11.91</v>
      </c>
      <c r="Q7" s="24">
        <v>24050124</v>
      </c>
    </row>
    <row r="8" ht="16.5" spans="1:17">
      <c r="A8" s="30" t="s">
        <v>2828</v>
      </c>
      <c r="B8" s="24">
        <v>279</v>
      </c>
      <c r="C8" s="28">
        <v>251.3</v>
      </c>
      <c r="D8" s="25">
        <v>5.02</v>
      </c>
      <c r="E8" s="29">
        <v>85.2</v>
      </c>
      <c r="F8" s="29">
        <v>96.3</v>
      </c>
      <c r="G8" s="25">
        <v>10.89</v>
      </c>
      <c r="H8" s="24">
        <v>25020232</v>
      </c>
      <c r="J8" s="104" t="s">
        <v>2829</v>
      </c>
      <c r="K8" s="24">
        <v>546.8</v>
      </c>
      <c r="L8" s="28">
        <v>238.3</v>
      </c>
      <c r="M8" s="25">
        <v>5.52</v>
      </c>
      <c r="N8" s="29">
        <v>83.4</v>
      </c>
      <c r="O8" s="29">
        <v>94.2</v>
      </c>
      <c r="P8" s="25">
        <v>13.24</v>
      </c>
      <c r="Q8" s="24">
        <v>24060024</v>
      </c>
    </row>
    <row r="9" ht="16.5" spans="1:17">
      <c r="A9" s="104" t="s">
        <v>2830</v>
      </c>
      <c r="B9" s="24">
        <v>235.6</v>
      </c>
      <c r="C9" s="28">
        <v>226.5</v>
      </c>
      <c r="D9" s="25">
        <v>6</v>
      </c>
      <c r="E9" s="29">
        <v>78.1</v>
      </c>
      <c r="F9" s="29">
        <v>93.2</v>
      </c>
      <c r="G9" s="25">
        <v>11.47</v>
      </c>
      <c r="H9" s="24">
        <v>25030069</v>
      </c>
      <c r="J9" s="30" t="s">
        <v>2831</v>
      </c>
      <c r="K9" s="24">
        <v>384.6</v>
      </c>
      <c r="L9" s="28">
        <v>239.3</v>
      </c>
      <c r="M9" s="25">
        <v>5.35</v>
      </c>
      <c r="N9" s="29">
        <v>83.9</v>
      </c>
      <c r="O9" s="29">
        <v>94.3</v>
      </c>
      <c r="P9" s="25">
        <v>12.47</v>
      </c>
      <c r="Q9" s="24">
        <v>24060025</v>
      </c>
    </row>
    <row r="10" ht="16.5" spans="1:17">
      <c r="A10" s="30" t="s">
        <v>2832</v>
      </c>
      <c r="B10" s="24">
        <v>511.4</v>
      </c>
      <c r="C10" s="28">
        <v>133</v>
      </c>
      <c r="D10" s="25">
        <v>3.34</v>
      </c>
      <c r="E10" s="29">
        <v>76.9</v>
      </c>
      <c r="F10" s="29">
        <v>93.9</v>
      </c>
      <c r="G10" s="25">
        <v>11.73</v>
      </c>
      <c r="H10" s="24">
        <v>25030476</v>
      </c>
      <c r="J10" s="30" t="s">
        <v>2833</v>
      </c>
      <c r="K10" s="24">
        <v>575.6</v>
      </c>
      <c r="L10" s="28">
        <v>85.7</v>
      </c>
      <c r="M10" s="25">
        <v>2.99</v>
      </c>
      <c r="N10" s="29">
        <v>72.7</v>
      </c>
      <c r="O10" s="29">
        <v>91.7</v>
      </c>
      <c r="P10" s="25">
        <v>13.04</v>
      </c>
      <c r="Q10" s="24">
        <v>24070175</v>
      </c>
    </row>
    <row r="11" ht="16.5" spans="1:17">
      <c r="A11" s="30" t="s">
        <v>2834</v>
      </c>
      <c r="B11" s="24">
        <v>516.2</v>
      </c>
      <c r="C11" s="28">
        <v>244.4</v>
      </c>
      <c r="D11" s="25">
        <v>4.41</v>
      </c>
      <c r="E11" s="29">
        <v>91.9</v>
      </c>
      <c r="F11" s="29">
        <v>98.8</v>
      </c>
      <c r="G11" s="25">
        <v>11.64</v>
      </c>
      <c r="H11" s="24">
        <v>25040108</v>
      </c>
      <c r="J11" s="30" t="s">
        <v>2835</v>
      </c>
      <c r="K11" s="24">
        <v>395.8</v>
      </c>
      <c r="L11" s="28">
        <v>257.8</v>
      </c>
      <c r="M11" s="25">
        <v>5.24</v>
      </c>
      <c r="N11" s="29">
        <v>87.4</v>
      </c>
      <c r="O11" s="29">
        <v>97.6</v>
      </c>
      <c r="P11" s="25">
        <v>10.73</v>
      </c>
      <c r="Q11" s="24">
        <v>25010239</v>
      </c>
    </row>
    <row r="12" ht="16.5" spans="1:17">
      <c r="A12" s="30" t="s">
        <v>2440</v>
      </c>
      <c r="B12" s="24">
        <v>781</v>
      </c>
      <c r="C12" s="28">
        <v>106.4</v>
      </c>
      <c r="D12" s="25">
        <v>2.99</v>
      </c>
      <c r="E12" s="29">
        <v>76.3</v>
      </c>
      <c r="F12" s="29">
        <v>94.4</v>
      </c>
      <c r="G12" s="25">
        <v>12.71</v>
      </c>
      <c r="H12" s="24">
        <v>25070034</v>
      </c>
      <c r="J12" s="30" t="s">
        <v>2287</v>
      </c>
      <c r="K12" s="24">
        <v>310.6</v>
      </c>
      <c r="L12" s="28">
        <v>226.1</v>
      </c>
      <c r="M12" s="25">
        <v>5.87</v>
      </c>
      <c r="N12" s="29">
        <v>69.3</v>
      </c>
      <c r="O12" s="29">
        <v>88.1</v>
      </c>
      <c r="P12" s="25">
        <v>9.93</v>
      </c>
      <c r="Q12" s="24">
        <v>25010358</v>
      </c>
    </row>
    <row r="13" ht="16.5" spans="1:17">
      <c r="A13" s="30" t="s">
        <v>2836</v>
      </c>
      <c r="B13" s="24">
        <v>473</v>
      </c>
      <c r="C13" s="28">
        <v>232.8</v>
      </c>
      <c r="D13" s="25">
        <v>4.34</v>
      </c>
      <c r="E13" s="29">
        <v>85.8</v>
      </c>
      <c r="F13" s="29">
        <v>97.4</v>
      </c>
      <c r="G13" s="25">
        <v>11.63</v>
      </c>
      <c r="H13" s="24">
        <v>25070330</v>
      </c>
      <c r="J13" s="30" t="s">
        <v>2837</v>
      </c>
      <c r="K13" s="24">
        <v>329.4</v>
      </c>
      <c r="L13" s="28">
        <v>256.3</v>
      </c>
      <c r="M13" s="25">
        <v>4.77</v>
      </c>
      <c r="N13" s="29">
        <v>92.2</v>
      </c>
      <c r="O13" s="29">
        <v>98.9</v>
      </c>
      <c r="P13" s="25">
        <v>11.11</v>
      </c>
      <c r="Q13" s="24">
        <v>25020037</v>
      </c>
    </row>
    <row r="14" ht="16.5" spans="1:17">
      <c r="A14" s="104" t="s">
        <v>2416</v>
      </c>
      <c r="B14" s="24">
        <v>813.8</v>
      </c>
      <c r="C14" s="28">
        <v>122.4</v>
      </c>
      <c r="D14" s="25">
        <v>3.4</v>
      </c>
      <c r="E14" s="29">
        <v>76.4</v>
      </c>
      <c r="F14" s="29">
        <v>93.7</v>
      </c>
      <c r="G14" s="25">
        <v>11.89</v>
      </c>
      <c r="H14" s="24">
        <v>25080074</v>
      </c>
      <c r="J14" s="30" t="s">
        <v>2838</v>
      </c>
      <c r="K14" s="24">
        <v>177.4</v>
      </c>
      <c r="L14" s="28">
        <v>254.9</v>
      </c>
      <c r="M14" s="25">
        <v>5.92</v>
      </c>
      <c r="N14" s="29">
        <v>86.7</v>
      </c>
      <c r="O14" s="29">
        <v>97.1</v>
      </c>
      <c r="P14" s="25">
        <v>11.02</v>
      </c>
      <c r="Q14" s="24">
        <v>25020216</v>
      </c>
    </row>
    <row r="15" ht="16.5" spans="1:17">
      <c r="A15" s="30" t="s">
        <v>2839</v>
      </c>
      <c r="B15" s="24">
        <v>219.8</v>
      </c>
      <c r="C15" s="28">
        <v>205.7</v>
      </c>
      <c r="D15" s="25">
        <v>3.99</v>
      </c>
      <c r="E15" s="29">
        <v>88.7</v>
      </c>
      <c r="F15" s="29">
        <v>97.4</v>
      </c>
      <c r="G15" s="25">
        <v>10.14</v>
      </c>
      <c r="H15" s="24">
        <v>25100315</v>
      </c>
      <c r="J15" s="30" t="s">
        <v>2840</v>
      </c>
      <c r="K15" s="24">
        <v>173</v>
      </c>
      <c r="L15" s="28">
        <v>284.8</v>
      </c>
      <c r="M15" s="25">
        <v>5</v>
      </c>
      <c r="N15" s="29">
        <v>88.2</v>
      </c>
      <c r="O15" s="29">
        <v>97</v>
      </c>
      <c r="P15" s="25">
        <v>9.66</v>
      </c>
      <c r="Q15" s="24">
        <v>25030293</v>
      </c>
    </row>
    <row r="16" ht="16.5" spans="1:17">
      <c r="A16" s="30" t="s">
        <v>2841</v>
      </c>
      <c r="B16" s="24">
        <v>484</v>
      </c>
      <c r="C16" s="28">
        <v>198.8</v>
      </c>
      <c r="D16" s="25">
        <v>4.08</v>
      </c>
      <c r="E16" s="29">
        <v>87.4</v>
      </c>
      <c r="F16" s="29">
        <v>96.8</v>
      </c>
      <c r="G16" s="25">
        <v>10.79</v>
      </c>
      <c r="H16" s="24">
        <v>25100318</v>
      </c>
      <c r="J16" s="30" t="s">
        <v>2842</v>
      </c>
      <c r="K16" s="24">
        <v>490</v>
      </c>
      <c r="L16" s="28">
        <v>115</v>
      </c>
      <c r="M16" s="25">
        <v>2.99</v>
      </c>
      <c r="N16" s="29">
        <v>75.8</v>
      </c>
      <c r="O16" s="29">
        <v>93.7</v>
      </c>
      <c r="P16" s="25">
        <v>12.07</v>
      </c>
      <c r="Q16" s="24">
        <v>25030477</v>
      </c>
    </row>
    <row r="17" ht="16.5" spans="1:17">
      <c r="A17" s="30" t="s">
        <v>2843</v>
      </c>
      <c r="B17" s="24">
        <v>479</v>
      </c>
      <c r="C17" s="28">
        <v>192.1</v>
      </c>
      <c r="D17" s="25">
        <v>4.11</v>
      </c>
      <c r="E17" s="29">
        <v>88.1</v>
      </c>
      <c r="F17" s="29">
        <v>96.9</v>
      </c>
      <c r="G17" s="25">
        <v>11.77</v>
      </c>
      <c r="H17" s="24">
        <v>25100321</v>
      </c>
      <c r="J17" s="30" t="s">
        <v>2844</v>
      </c>
      <c r="K17" s="24">
        <v>473.2</v>
      </c>
      <c r="L17" s="28">
        <v>117.8</v>
      </c>
      <c r="M17" s="25">
        <v>3.15</v>
      </c>
      <c r="N17" s="29">
        <v>77.6</v>
      </c>
      <c r="O17" s="29">
        <v>95.1</v>
      </c>
      <c r="P17" s="25">
        <v>13.08</v>
      </c>
      <c r="Q17" s="24">
        <v>25040231</v>
      </c>
    </row>
    <row r="18" ht="16.5" spans="1:17">
      <c r="A18" s="30" t="s">
        <v>2845</v>
      </c>
      <c r="B18" s="24">
        <v>392</v>
      </c>
      <c r="C18" s="28">
        <v>211.8</v>
      </c>
      <c r="D18" s="25">
        <v>4.08</v>
      </c>
      <c r="E18" s="29">
        <v>86.4</v>
      </c>
      <c r="F18" s="29">
        <v>95.2</v>
      </c>
      <c r="G18" s="25">
        <v>11.56</v>
      </c>
      <c r="H18" s="24">
        <v>25100325</v>
      </c>
      <c r="J18" s="30" t="s">
        <v>2846</v>
      </c>
      <c r="K18" s="24">
        <v>480.6</v>
      </c>
      <c r="L18" s="28">
        <v>104.2</v>
      </c>
      <c r="M18" s="25">
        <v>2.93</v>
      </c>
      <c r="N18" s="29">
        <v>79.5</v>
      </c>
      <c r="O18" s="29">
        <v>96.1</v>
      </c>
      <c r="P18" s="25">
        <v>12.17</v>
      </c>
      <c r="Q18" s="24">
        <v>25040328</v>
      </c>
    </row>
    <row r="19" ht="16.5" spans="1:17">
      <c r="A19" s="30" t="s">
        <v>2847</v>
      </c>
      <c r="B19" s="24">
        <v>144.6</v>
      </c>
      <c r="C19" s="28">
        <v>218.3</v>
      </c>
      <c r="D19" s="25">
        <v>4.06</v>
      </c>
      <c r="E19" s="29">
        <v>81.8</v>
      </c>
      <c r="F19" s="29">
        <v>92.4</v>
      </c>
      <c r="G19" s="25">
        <v>9.11</v>
      </c>
      <c r="H19" s="24">
        <v>25100329</v>
      </c>
      <c r="J19" s="30" t="s">
        <v>2297</v>
      </c>
      <c r="K19" s="24">
        <v>318.2</v>
      </c>
      <c r="L19" s="28">
        <v>134.8</v>
      </c>
      <c r="M19" s="25">
        <v>3.28</v>
      </c>
      <c r="N19" s="29">
        <v>76.5</v>
      </c>
      <c r="O19" s="29">
        <v>93.2</v>
      </c>
      <c r="P19" s="25">
        <v>11.19</v>
      </c>
      <c r="Q19" s="24">
        <v>25040407</v>
      </c>
    </row>
    <row r="20" ht="16.5" spans="1:17">
      <c r="A20" s="30" t="s">
        <v>2848</v>
      </c>
      <c r="B20" s="24">
        <v>154.8</v>
      </c>
      <c r="C20" s="28">
        <v>190.5</v>
      </c>
      <c r="D20" s="25">
        <v>3.7</v>
      </c>
      <c r="E20" s="29">
        <v>85.7</v>
      </c>
      <c r="F20" s="29">
        <v>95.5</v>
      </c>
      <c r="G20" s="25">
        <v>9.3</v>
      </c>
      <c r="H20" s="24">
        <v>25100344</v>
      </c>
      <c r="J20" s="30" t="s">
        <v>2849</v>
      </c>
      <c r="K20" s="24">
        <v>792.2</v>
      </c>
      <c r="L20" s="28">
        <v>244.2</v>
      </c>
      <c r="M20" s="25">
        <v>4.2</v>
      </c>
      <c r="N20" s="29">
        <v>90.2</v>
      </c>
      <c r="O20" s="29">
        <v>98.3</v>
      </c>
      <c r="P20" s="25">
        <v>11.75</v>
      </c>
      <c r="Q20" s="24">
        <v>25060258</v>
      </c>
    </row>
    <row r="21" ht="16.5" spans="1:17">
      <c r="A21" s="32" t="s">
        <v>2850</v>
      </c>
      <c r="B21" s="24">
        <v>233.6</v>
      </c>
      <c r="C21" s="28">
        <v>207.9</v>
      </c>
      <c r="D21" s="25">
        <v>4.32</v>
      </c>
      <c r="E21" s="29">
        <v>87.9</v>
      </c>
      <c r="F21" s="29">
        <v>97</v>
      </c>
      <c r="G21" s="25">
        <v>11.63</v>
      </c>
      <c r="H21" s="24">
        <v>25100345</v>
      </c>
      <c r="J21" s="30" t="s">
        <v>2851</v>
      </c>
      <c r="K21" s="24">
        <v>855.6</v>
      </c>
      <c r="L21" s="28">
        <v>96.3</v>
      </c>
      <c r="M21" s="25">
        <v>2.83</v>
      </c>
      <c r="N21" s="29">
        <v>79</v>
      </c>
      <c r="O21" s="29">
        <v>96.1</v>
      </c>
      <c r="P21" s="25">
        <v>12.31</v>
      </c>
      <c r="Q21" s="24">
        <v>25070255</v>
      </c>
    </row>
    <row r="22" ht="16.5" spans="1:17">
      <c r="A22" s="32" t="s">
        <v>2852</v>
      </c>
      <c r="B22" s="24">
        <v>377</v>
      </c>
      <c r="C22" s="28">
        <v>162.3</v>
      </c>
      <c r="D22" s="25">
        <v>3.65</v>
      </c>
      <c r="E22" s="29">
        <v>76.9</v>
      </c>
      <c r="F22" s="29">
        <v>90.3</v>
      </c>
      <c r="G22" s="25">
        <v>11.55</v>
      </c>
      <c r="H22" s="24">
        <v>25100357</v>
      </c>
      <c r="J22" s="30" t="s">
        <v>2853</v>
      </c>
      <c r="K22" s="24">
        <v>499.6</v>
      </c>
      <c r="L22" s="28">
        <v>193.1</v>
      </c>
      <c r="M22" s="25">
        <v>4.08</v>
      </c>
      <c r="N22" s="29">
        <v>87.6</v>
      </c>
      <c r="O22" s="29">
        <v>96.7</v>
      </c>
      <c r="P22" s="25">
        <v>11.63</v>
      </c>
      <c r="Q22" s="24">
        <v>25100320</v>
      </c>
    </row>
    <row r="23" ht="16.5" spans="1:17">
      <c r="A23" s="32" t="s">
        <v>2854</v>
      </c>
      <c r="B23" s="24">
        <v>681.2</v>
      </c>
      <c r="C23" s="28">
        <v>166</v>
      </c>
      <c r="D23" s="25">
        <v>3.58</v>
      </c>
      <c r="E23" s="29">
        <v>70.2</v>
      </c>
      <c r="F23" s="29">
        <v>86.2</v>
      </c>
      <c r="G23" s="25">
        <v>10.82</v>
      </c>
      <c r="H23" s="24">
        <v>25100359</v>
      </c>
      <c r="J23" s="30" t="s">
        <v>2855</v>
      </c>
      <c r="K23" s="24">
        <v>482.6</v>
      </c>
      <c r="L23" s="28">
        <v>191.2</v>
      </c>
      <c r="M23" s="25">
        <v>4.08</v>
      </c>
      <c r="N23" s="29">
        <v>87.3</v>
      </c>
      <c r="O23" s="29">
        <v>96.1</v>
      </c>
      <c r="P23" s="25">
        <v>11.78</v>
      </c>
      <c r="Q23" s="24">
        <v>25100322</v>
      </c>
    </row>
    <row r="24" ht="16.5" spans="1:17">
      <c r="A24" s="32" t="s">
        <v>2856</v>
      </c>
      <c r="B24" s="24">
        <v>595.8</v>
      </c>
      <c r="C24" s="28">
        <v>180.9</v>
      </c>
      <c r="D24" s="25">
        <v>3.82</v>
      </c>
      <c r="E24" s="29">
        <v>79.6</v>
      </c>
      <c r="F24" s="29">
        <v>91.8</v>
      </c>
      <c r="G24" s="25">
        <v>11.39</v>
      </c>
      <c r="H24" s="24">
        <v>25100362</v>
      </c>
      <c r="J24" s="32" t="s">
        <v>2857</v>
      </c>
      <c r="K24" s="24">
        <v>717.2</v>
      </c>
      <c r="L24" s="28">
        <v>165.3</v>
      </c>
      <c r="M24" s="25">
        <v>3.67</v>
      </c>
      <c r="N24" s="29">
        <v>81.7</v>
      </c>
      <c r="O24" s="29">
        <v>93.3</v>
      </c>
      <c r="P24" s="25">
        <v>11.8</v>
      </c>
      <c r="Q24" s="24">
        <v>25100356</v>
      </c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K3:L3 B4:B24 C3:C24 K4:K11 K13:K18 K20:K24 L4:L24"/>
  </dataValidations>
  <pageMargins left="0.75" right="0.75" top="1" bottom="1" header="0.5" footer="0.5"/>
  <pageSetup paperSize="9" orientation="portrait"/>
  <headerFooter/>
  <legacy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E26" sqref="E26"/>
    </sheetView>
  </sheetViews>
  <sheetFormatPr defaultColWidth="9" defaultRowHeight="13.5" outlineLevelRow="6" outlineLevelCol="6"/>
  <cols>
    <col min="1" max="1" width="15.625" customWidth="1"/>
    <col min="7" max="7" width="9.375"/>
  </cols>
  <sheetData>
    <row r="1" ht="16.5" spans="1:7">
      <c r="A1" s="1">
        <v>1113</v>
      </c>
      <c r="B1" s="2">
        <f>SUM(B3:B28)</f>
        <v>2021.2</v>
      </c>
      <c r="C1" s="51">
        <f>SUMPRODUCT(C3:C28*B3:B28)/B1</f>
        <v>227.008984761528</v>
      </c>
      <c r="D1" s="61">
        <f>SUMPRODUCT(B3:B28*D3:D28)/B1</f>
        <v>4.64133188205027</v>
      </c>
      <c r="E1" s="51">
        <f>SUMPRODUCT(B3:B28*E3:E28)/B1</f>
        <v>83.7832772610331</v>
      </c>
      <c r="F1" s="51">
        <f>SUMPRODUCT(B3:B28*F3:F28)/B1</f>
        <v>93.762715218682</v>
      </c>
    </row>
    <row r="2" ht="16.5" spans="1:7">
      <c r="A2" s="5">
        <v>200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</row>
    <row r="3" ht="16.5" spans="1:7">
      <c r="A3" s="39" t="s">
        <v>2858</v>
      </c>
      <c r="B3" s="9">
        <v>464</v>
      </c>
      <c r="C3" s="10">
        <v>158.2</v>
      </c>
      <c r="D3" s="11">
        <v>3.61</v>
      </c>
      <c r="E3" s="12">
        <v>72</v>
      </c>
      <c r="F3" s="12">
        <v>87.8</v>
      </c>
      <c r="G3" s="9">
        <v>25100285</v>
      </c>
    </row>
    <row r="4" ht="16.5" spans="1:7">
      <c r="A4" s="38" t="s">
        <v>2859</v>
      </c>
      <c r="B4" s="34">
        <v>595.6</v>
      </c>
      <c r="C4" s="35">
        <v>252.6</v>
      </c>
      <c r="D4" s="36">
        <v>5.13</v>
      </c>
      <c r="E4" s="37">
        <v>91.3</v>
      </c>
      <c r="F4" s="37">
        <v>98.1</v>
      </c>
      <c r="G4" s="34">
        <v>25100295</v>
      </c>
    </row>
    <row r="5" ht="16.5" spans="1:7">
      <c r="A5" s="54" t="s">
        <v>2860</v>
      </c>
      <c r="B5" s="9">
        <v>390.8</v>
      </c>
      <c r="C5" s="10">
        <v>261.1</v>
      </c>
      <c r="D5" s="11">
        <v>5.05</v>
      </c>
      <c r="E5" s="12">
        <v>87.9</v>
      </c>
      <c r="F5" s="12">
        <v>95.2</v>
      </c>
      <c r="G5" s="9">
        <v>24090024</v>
      </c>
    </row>
    <row r="6" ht="16.5" spans="1:7">
      <c r="A6" s="39" t="s">
        <v>2861</v>
      </c>
      <c r="B6" s="9">
        <v>570.8</v>
      </c>
      <c r="C6" s="10">
        <v>232.9</v>
      </c>
      <c r="D6" s="11">
        <v>4.69</v>
      </c>
      <c r="E6" s="12">
        <v>82.7</v>
      </c>
      <c r="F6" s="12">
        <v>93.1</v>
      </c>
      <c r="G6" s="9">
        <v>25100236</v>
      </c>
    </row>
    <row r="7" ht="16.5" spans="1:7">
      <c r="A7" s="39"/>
      <c r="B7" s="9"/>
      <c r="C7" s="10"/>
      <c r="D7" s="11"/>
      <c r="E7" s="12"/>
      <c r="F7" s="12"/>
      <c r="G7" s="9"/>
    </row>
  </sheetData>
  <conditionalFormatting sqref="A1:A2">
    <cfRule type="duplicateValues" dxfId="0" priority="1"/>
  </conditionalFormatting>
  <dataValidations count="1">
    <dataValidation allowBlank="1" showInputMessage="1" showErrorMessage="1" sqref="B3:C7"/>
  </dataValidations>
  <pageMargins left="0.75" right="0.75" top="1" bottom="1" header="0.5" footer="0.5"/>
  <pageSetup paperSize="9" orientation="portrait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N19" sqref="N19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</cols>
  <sheetData>
    <row r="1" ht="16.5" spans="1:16">
      <c r="A1" s="1">
        <v>1115</v>
      </c>
      <c r="B1" s="2">
        <f>SUM(B3:B28)</f>
        <v>10242</v>
      </c>
      <c r="C1" s="51">
        <f>SUMPRODUCT(C3:C28*B3:B28)/B1</f>
        <v>237.671034954111</v>
      </c>
      <c r="D1" s="61">
        <f>SUMPRODUCT(B3:B28*D3:D28)/B1</f>
        <v>4.88999746143332</v>
      </c>
      <c r="E1" s="51">
        <f>SUMPRODUCT(B3:B28*E3:E28)/B1</f>
        <v>84.3410173794181</v>
      </c>
      <c r="F1" s="51">
        <f>SUMPRODUCT(B3:B28*F3:F28)/B1</f>
        <v>95.3732942784612</v>
      </c>
      <c r="J1" s="1">
        <v>1114</v>
      </c>
      <c r="K1" s="2">
        <f>SUM(K3:K28)</f>
        <v>10125.6</v>
      </c>
      <c r="L1" s="51">
        <f>SUMPRODUCT(L3:L28*K3:K28)/K1</f>
        <v>238.851155487082</v>
      </c>
      <c r="M1" s="61">
        <f>SUMPRODUCT(K3:K28*M3:M28)/K1</f>
        <v>4.9141378288694</v>
      </c>
      <c r="N1" s="51">
        <f>SUMPRODUCT(K3:K28*N3:N28)/K1</f>
        <v>83.979631824287</v>
      </c>
      <c r="O1" s="51">
        <f>SUMPRODUCT(K3:K28*O3:O28)/K1</f>
        <v>95.1082207474125</v>
      </c>
    </row>
    <row r="2" ht="16.5" spans="1:16">
      <c r="A2" s="5">
        <v>220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5">
        <v>220</v>
      </c>
      <c r="K2" s="5" t="s">
        <v>0</v>
      </c>
      <c r="L2" s="5" t="s">
        <v>1</v>
      </c>
      <c r="M2" s="5" t="s">
        <v>2</v>
      </c>
      <c r="N2" s="5" t="s">
        <v>3</v>
      </c>
      <c r="O2" s="5" t="s">
        <v>4</v>
      </c>
    </row>
    <row r="3" ht="16.5" spans="1:16">
      <c r="A3" s="101">
        <v>20251012</v>
      </c>
      <c r="B3" s="101">
        <v>5000</v>
      </c>
      <c r="C3" s="1">
        <v>227.6</v>
      </c>
      <c r="D3" s="1">
        <v>4.86</v>
      </c>
      <c r="E3" s="2">
        <v>80.2</v>
      </c>
      <c r="F3" s="2">
        <v>93.2</v>
      </c>
      <c r="J3" s="38" t="s">
        <v>2862</v>
      </c>
      <c r="K3" s="34">
        <v>532.6</v>
      </c>
      <c r="L3" s="35">
        <v>270.4</v>
      </c>
      <c r="M3" s="36">
        <v>5.35</v>
      </c>
      <c r="N3" s="37">
        <v>88.2</v>
      </c>
      <c r="O3" s="37">
        <v>97.2</v>
      </c>
      <c r="P3" s="34">
        <v>25010207</v>
      </c>
    </row>
    <row r="4" ht="16.5" spans="1:16">
      <c r="A4" s="23" t="s">
        <v>2863</v>
      </c>
      <c r="B4" s="14">
        <v>599</v>
      </c>
      <c r="C4" s="15">
        <v>265.1</v>
      </c>
      <c r="D4" s="16">
        <v>4.52</v>
      </c>
      <c r="E4" s="17">
        <v>92.5</v>
      </c>
      <c r="F4" s="17">
        <v>98.6</v>
      </c>
      <c r="G4" s="14">
        <v>25100291</v>
      </c>
      <c r="J4" s="38" t="s">
        <v>916</v>
      </c>
      <c r="K4" s="34">
        <v>475.8</v>
      </c>
      <c r="L4" s="35">
        <v>260</v>
      </c>
      <c r="M4" s="36">
        <v>5.13</v>
      </c>
      <c r="N4" s="37">
        <v>86.2</v>
      </c>
      <c r="O4" s="37">
        <v>95.8</v>
      </c>
      <c r="P4" s="34">
        <v>25010270</v>
      </c>
    </row>
    <row r="5" ht="16.5" spans="1:16">
      <c r="A5" s="18" t="s">
        <v>2864</v>
      </c>
      <c r="B5" s="14">
        <v>239.2</v>
      </c>
      <c r="C5" s="15">
        <v>294.3</v>
      </c>
      <c r="D5" s="16">
        <v>5.19</v>
      </c>
      <c r="E5" s="17">
        <v>88.9</v>
      </c>
      <c r="F5" s="17">
        <v>97.1</v>
      </c>
      <c r="G5" s="14">
        <v>25100044</v>
      </c>
      <c r="J5" s="38" t="s">
        <v>2865</v>
      </c>
      <c r="K5" s="34">
        <v>362.2</v>
      </c>
      <c r="L5" s="35">
        <v>288.8</v>
      </c>
      <c r="M5" s="36">
        <v>4.89</v>
      </c>
      <c r="N5" s="37">
        <v>89.8</v>
      </c>
      <c r="O5" s="37">
        <v>97.2</v>
      </c>
      <c r="P5" s="34">
        <v>25010288</v>
      </c>
    </row>
    <row r="6" ht="16.5" spans="1:16">
      <c r="A6" s="18" t="s">
        <v>2866</v>
      </c>
      <c r="B6" s="14">
        <v>664.8</v>
      </c>
      <c r="C6" s="15">
        <v>294.8</v>
      </c>
      <c r="D6" s="16">
        <v>5.35</v>
      </c>
      <c r="E6" s="17">
        <v>87.5</v>
      </c>
      <c r="F6" s="17">
        <v>96.5</v>
      </c>
      <c r="G6" s="14">
        <v>25100045</v>
      </c>
      <c r="J6" s="38" t="s">
        <v>2867</v>
      </c>
      <c r="K6" s="34">
        <v>458.8</v>
      </c>
      <c r="L6" s="35">
        <v>265.9</v>
      </c>
      <c r="M6" s="36">
        <v>4.97</v>
      </c>
      <c r="N6" s="37">
        <v>89.8</v>
      </c>
      <c r="O6" s="37">
        <v>97.7</v>
      </c>
      <c r="P6" s="34">
        <v>25010344</v>
      </c>
    </row>
    <row r="7" ht="16.5" spans="1:16">
      <c r="A7" s="18" t="s">
        <v>2868</v>
      </c>
      <c r="B7" s="14">
        <v>257.6</v>
      </c>
      <c r="C7" s="15">
        <v>296</v>
      </c>
      <c r="D7" s="16">
        <v>5.57</v>
      </c>
      <c r="E7" s="17">
        <v>84</v>
      </c>
      <c r="F7" s="17">
        <v>94.6</v>
      </c>
      <c r="G7" s="14">
        <v>25100046</v>
      </c>
      <c r="J7" s="38" t="s">
        <v>2869</v>
      </c>
      <c r="K7" s="34">
        <v>209.8</v>
      </c>
      <c r="L7" s="35">
        <v>287.6</v>
      </c>
      <c r="M7" s="36">
        <v>4.91</v>
      </c>
      <c r="N7" s="37">
        <v>86.7</v>
      </c>
      <c r="O7" s="37">
        <v>96.1</v>
      </c>
      <c r="P7" s="34">
        <v>25030275</v>
      </c>
    </row>
    <row r="8" ht="16.5" spans="1:16">
      <c r="A8" s="18" t="s">
        <v>2870</v>
      </c>
      <c r="B8" s="14">
        <v>630.6</v>
      </c>
      <c r="C8" s="15">
        <v>255.5</v>
      </c>
      <c r="D8" s="16">
        <v>4.75</v>
      </c>
      <c r="E8" s="17">
        <v>88</v>
      </c>
      <c r="F8" s="17">
        <v>97</v>
      </c>
      <c r="G8" s="14">
        <v>25060327</v>
      </c>
      <c r="J8" s="102" t="s">
        <v>2871</v>
      </c>
      <c r="K8" s="34">
        <v>440.2</v>
      </c>
      <c r="L8" s="35">
        <v>226.4</v>
      </c>
      <c r="M8" s="36">
        <v>5.43</v>
      </c>
      <c r="N8" s="37">
        <v>82.5</v>
      </c>
      <c r="O8" s="37">
        <v>95.4</v>
      </c>
      <c r="P8" s="34">
        <v>25040436</v>
      </c>
    </row>
    <row r="9" ht="16.5" spans="1:16">
      <c r="A9" s="95" t="s">
        <v>2872</v>
      </c>
      <c r="B9" s="14">
        <v>836.2</v>
      </c>
      <c r="C9" s="15">
        <v>214.5</v>
      </c>
      <c r="D9" s="16">
        <v>4.8</v>
      </c>
      <c r="E9" s="17">
        <v>87</v>
      </c>
      <c r="F9" s="17">
        <v>97.6</v>
      </c>
      <c r="G9" s="24">
        <v>25060051</v>
      </c>
      <c r="J9" s="102" t="s">
        <v>2873</v>
      </c>
      <c r="K9" s="34">
        <v>535.8</v>
      </c>
      <c r="L9" s="35">
        <v>227.9</v>
      </c>
      <c r="M9" s="36">
        <v>5.38</v>
      </c>
      <c r="N9" s="37">
        <v>82.4</v>
      </c>
      <c r="O9" s="37">
        <v>95.3</v>
      </c>
      <c r="P9" s="34">
        <v>25040435</v>
      </c>
    </row>
    <row r="10" ht="16.5" spans="1:16">
      <c r="A10" s="103" t="s">
        <v>2874</v>
      </c>
      <c r="B10" s="14">
        <v>491.8</v>
      </c>
      <c r="C10" s="15">
        <v>215.5</v>
      </c>
      <c r="D10" s="16">
        <v>4.89</v>
      </c>
      <c r="E10" s="17">
        <v>88.2</v>
      </c>
      <c r="F10" s="17">
        <v>98.1</v>
      </c>
      <c r="G10" s="14">
        <v>25040433</v>
      </c>
      <c r="J10" s="42" t="s">
        <v>2875</v>
      </c>
      <c r="K10" s="34">
        <v>487.2</v>
      </c>
      <c r="L10" s="35">
        <v>211.3</v>
      </c>
      <c r="M10" s="36">
        <v>5.02</v>
      </c>
      <c r="N10" s="37">
        <v>88.1</v>
      </c>
      <c r="O10" s="37">
        <v>98</v>
      </c>
      <c r="P10" s="34">
        <v>25060066</v>
      </c>
    </row>
    <row r="11" ht="16.5" spans="1:16">
      <c r="A11" s="103" t="s">
        <v>2876</v>
      </c>
      <c r="B11" s="14">
        <v>481.8</v>
      </c>
      <c r="C11" s="15">
        <v>232.4</v>
      </c>
      <c r="D11" s="16">
        <v>4.89</v>
      </c>
      <c r="E11" s="17">
        <v>90.4</v>
      </c>
      <c r="F11" s="17">
        <v>98.3</v>
      </c>
      <c r="G11" s="14">
        <v>25040473</v>
      </c>
      <c r="J11" s="38" t="s">
        <v>2877</v>
      </c>
      <c r="K11" s="34">
        <v>586.2</v>
      </c>
      <c r="L11" s="35">
        <v>241.7</v>
      </c>
      <c r="M11" s="36">
        <v>4.41</v>
      </c>
      <c r="N11" s="37">
        <v>93.3</v>
      </c>
      <c r="O11" s="37">
        <v>98.9</v>
      </c>
      <c r="P11" s="34">
        <v>25100215</v>
      </c>
    </row>
    <row r="12" ht="16.5" spans="1:16">
      <c r="A12" s="103" t="s">
        <v>2878</v>
      </c>
      <c r="B12" s="14">
        <v>276.4</v>
      </c>
      <c r="C12" s="15">
        <v>233.7</v>
      </c>
      <c r="D12" s="16">
        <v>4.91</v>
      </c>
      <c r="E12" s="17">
        <v>90</v>
      </c>
      <c r="F12" s="17">
        <v>98.1</v>
      </c>
      <c r="G12" s="14">
        <v>25040474</v>
      </c>
      <c r="J12" s="23" t="s">
        <v>2879</v>
      </c>
      <c r="K12" s="14">
        <v>653.2</v>
      </c>
      <c r="L12" s="15">
        <v>231.8</v>
      </c>
      <c r="M12" s="16">
        <v>4.32</v>
      </c>
      <c r="N12" s="17">
        <v>86.1</v>
      </c>
      <c r="O12" s="17">
        <v>96.3</v>
      </c>
      <c r="P12" s="14">
        <v>25100128</v>
      </c>
    </row>
    <row r="13" ht="16.5" spans="1:16">
      <c r="A13" s="95" t="s">
        <v>2880</v>
      </c>
      <c r="B13" s="14">
        <v>268.8</v>
      </c>
      <c r="C13" s="15">
        <v>229</v>
      </c>
      <c r="D13" s="16">
        <v>4.97</v>
      </c>
      <c r="E13" s="17">
        <v>84.3</v>
      </c>
      <c r="F13" s="17">
        <v>96.4</v>
      </c>
      <c r="G13" s="14">
        <v>25060027</v>
      </c>
      <c r="J13" s="23" t="s">
        <v>2881</v>
      </c>
      <c r="K13" s="14">
        <v>383.8</v>
      </c>
      <c r="L13" s="15">
        <v>281.5</v>
      </c>
      <c r="M13" s="16">
        <v>5.11</v>
      </c>
      <c r="N13" s="17">
        <v>91.5</v>
      </c>
      <c r="O13" s="17">
        <v>98.5</v>
      </c>
      <c r="P13" s="14">
        <v>25020382</v>
      </c>
    </row>
    <row r="14" ht="16.5" spans="1:16">
      <c r="A14" s="103" t="s">
        <v>2882</v>
      </c>
      <c r="B14" s="14">
        <v>495.8</v>
      </c>
      <c r="C14" s="15">
        <v>222.3</v>
      </c>
      <c r="D14" s="16">
        <v>4.8</v>
      </c>
      <c r="E14" s="17">
        <v>88</v>
      </c>
      <c r="F14" s="17">
        <v>98</v>
      </c>
      <c r="G14" s="14">
        <v>25040432</v>
      </c>
      <c r="J14" s="101">
        <v>20251012</v>
      </c>
      <c r="K14" s="101">
        <v>5000</v>
      </c>
      <c r="L14" s="1">
        <v>227.6</v>
      </c>
      <c r="M14" s="1">
        <v>4.86</v>
      </c>
      <c r="N14" s="2">
        <v>80.2</v>
      </c>
      <c r="O14" s="2">
        <v>93.2</v>
      </c>
      <c r="P14" s="60"/>
    </row>
  </sheetData>
  <conditionalFormatting sqref="L14">
    <cfRule type="expression" dxfId="3" priority="22">
      <formula>$I14&lt;$BC14</formula>
    </cfRule>
    <cfRule type="expression" dxfId="2" priority="24">
      <formula>AND(MOD(ROW(),2)=1,#REF!&lt;&gt;"")</formula>
    </cfRule>
  </conditionalFormatting>
  <conditionalFormatting sqref="M14">
    <cfRule type="expression" dxfId="4" priority="21">
      <formula>$AD14&lt;$BD14</formula>
    </cfRule>
    <cfRule type="expression" dxfId="2" priority="23">
      <formula>AND(MOD(ROW(),2)=1,#REF!&lt;&gt;"")</formula>
    </cfRule>
  </conditionalFormatting>
  <conditionalFormatting sqref="N14:O14">
    <cfRule type="expression" dxfId="2" priority="19">
      <formula>AND(MOD(ROW(),2)=1,#REF!&lt;&gt;"")</formula>
    </cfRule>
  </conditionalFormatting>
  <conditionalFormatting sqref="N14">
    <cfRule type="expression" dxfId="4" priority="18">
      <formula>$T14&lt;$BE14</formula>
    </cfRule>
  </conditionalFormatting>
  <conditionalFormatting sqref="O14">
    <cfRule type="expression" dxfId="4" priority="17">
      <formula>$U14&lt;$BF14</formula>
    </cfRule>
    <cfRule type="expression" dxfId="1" priority="20">
      <formula>O14:O17&lt;AZ14:AZ760</formula>
    </cfRule>
  </conditionalFormatting>
  <conditionalFormatting sqref="A1:A2">
    <cfRule type="duplicateValues" dxfId="0" priority="26"/>
  </conditionalFormatting>
  <conditionalFormatting sqref="J1:J2">
    <cfRule type="duplicateValues" dxfId="0" priority="25"/>
  </conditionalFormatting>
  <dataValidations count="1">
    <dataValidation allowBlank="1" showInputMessage="1" showErrorMessage="1" sqref="B4:B10 B13:B14 C3:C14 K4:K5 K7:K13 L3:L14"/>
  </dataValidations>
  <pageMargins left="0.75" right="0.75" top="1" bottom="1" header="0.5" footer="0.5"/>
  <pageSetup paperSize="9" orientation="portrait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E26" sqref="E2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1116</v>
      </c>
      <c r="B1" s="2">
        <f>SUM(B3:B30)</f>
        <v>9813.2</v>
      </c>
      <c r="C1" s="3" cm="1">
        <f t="array" ref="C1">SUMPRODUCT(C3:C30*B3:B30)/B1</f>
        <v>156.902168507724</v>
      </c>
      <c r="D1" s="4" cm="1">
        <f t="array" ref="D1">SUMPRODUCT(B3:B30*D3:D30)/B1</f>
        <v>3.78290099050259</v>
      </c>
      <c r="E1" s="3" cm="1">
        <f t="array" ref="E1">SUMPRODUCT(B3:B30*E3:E30)/B1</f>
        <v>77.7559654343129</v>
      </c>
      <c r="F1" s="3" cm="1">
        <f t="array" ref="F1">SUMPRODUCT(B3:B30*F3:F30)/B1</f>
        <v>92.2525475889618</v>
      </c>
      <c r="G1" s="3" cm="1">
        <f t="array" ref="G1">SUMPRODUCT(B3:B30*G3:G30)/B1</f>
        <v>11.73484306852</v>
      </c>
    </row>
    <row r="2" ht="16.5" spans="1:8">
      <c r="A2" s="5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8" t="s">
        <v>2883</v>
      </c>
      <c r="B3" s="9">
        <v>671</v>
      </c>
      <c r="C3" s="10">
        <v>172.8</v>
      </c>
      <c r="D3" s="11">
        <v>3.82</v>
      </c>
      <c r="E3" s="12">
        <v>84.8</v>
      </c>
      <c r="F3" s="12">
        <v>94.6</v>
      </c>
      <c r="G3" s="11">
        <v>12.19</v>
      </c>
      <c r="H3" s="34">
        <v>25100353</v>
      </c>
    </row>
    <row r="4" ht="16.5" spans="1:8">
      <c r="A4" s="8" t="s">
        <v>2884</v>
      </c>
      <c r="B4" s="9">
        <v>656</v>
      </c>
      <c r="C4" s="10">
        <v>173.2</v>
      </c>
      <c r="D4" s="11">
        <v>3.65</v>
      </c>
      <c r="E4" s="12">
        <v>71</v>
      </c>
      <c r="F4" s="12">
        <v>86.8</v>
      </c>
      <c r="G4" s="11">
        <v>10.17</v>
      </c>
      <c r="H4" s="9">
        <v>25100360</v>
      </c>
    </row>
    <row r="5" ht="16.5" spans="1:8">
      <c r="A5" s="8" t="s">
        <v>2885</v>
      </c>
      <c r="B5" s="9">
        <v>641.6</v>
      </c>
      <c r="C5" s="10">
        <v>175</v>
      </c>
      <c r="D5" s="11">
        <v>3.7</v>
      </c>
      <c r="E5" s="12">
        <v>73.5</v>
      </c>
      <c r="F5" s="12">
        <v>88.2</v>
      </c>
      <c r="G5" s="11">
        <v>10.3</v>
      </c>
      <c r="H5" s="9">
        <v>25100361</v>
      </c>
    </row>
    <row r="6" ht="16.5" spans="1:8">
      <c r="A6" s="8" t="s">
        <v>2886</v>
      </c>
      <c r="B6" s="9">
        <v>735</v>
      </c>
      <c r="C6" s="10">
        <v>184</v>
      </c>
      <c r="D6" s="11">
        <v>3.82</v>
      </c>
      <c r="E6" s="12">
        <v>86.2</v>
      </c>
      <c r="F6" s="12">
        <v>96</v>
      </c>
      <c r="G6" s="11">
        <v>11.84</v>
      </c>
      <c r="H6" s="9">
        <v>25100350</v>
      </c>
    </row>
    <row r="7" ht="16.5" spans="1:8">
      <c r="A7" s="8" t="s">
        <v>2887</v>
      </c>
      <c r="B7" s="9">
        <v>743.8</v>
      </c>
      <c r="C7" s="10">
        <v>181</v>
      </c>
      <c r="D7" s="11">
        <v>3.85</v>
      </c>
      <c r="E7" s="12">
        <v>85.9</v>
      </c>
      <c r="F7" s="12">
        <v>95.9</v>
      </c>
      <c r="G7" s="11">
        <v>11.98</v>
      </c>
      <c r="H7" s="9">
        <v>25100351</v>
      </c>
    </row>
    <row r="8" ht="16.5" spans="1:8">
      <c r="A8" s="39" t="s">
        <v>2888</v>
      </c>
      <c r="B8" s="9">
        <v>496.6</v>
      </c>
      <c r="C8" s="10">
        <v>197.7</v>
      </c>
      <c r="D8" s="11">
        <v>4.08</v>
      </c>
      <c r="E8" s="12">
        <v>87.1</v>
      </c>
      <c r="F8" s="12">
        <v>95.8</v>
      </c>
      <c r="G8" s="11">
        <v>11.65</v>
      </c>
      <c r="H8" s="34">
        <v>25100324</v>
      </c>
    </row>
    <row r="9" ht="16.5" spans="1:8">
      <c r="A9" s="39" t="s">
        <v>2889</v>
      </c>
      <c r="B9" s="9">
        <v>612.2</v>
      </c>
      <c r="C9" s="10">
        <v>99</v>
      </c>
      <c r="D9" s="11">
        <v>2.9</v>
      </c>
      <c r="E9" s="12">
        <v>80.3</v>
      </c>
      <c r="F9" s="12">
        <v>96.6</v>
      </c>
      <c r="G9" s="11">
        <v>12.77</v>
      </c>
      <c r="H9" s="34">
        <v>25070254</v>
      </c>
    </row>
    <row r="10" ht="16.5" spans="1:8">
      <c r="A10" s="54" t="s">
        <v>2890</v>
      </c>
      <c r="B10" s="9">
        <v>544</v>
      </c>
      <c r="C10" s="10">
        <v>200.7</v>
      </c>
      <c r="D10" s="11">
        <v>5.46</v>
      </c>
      <c r="E10" s="12">
        <v>77.9</v>
      </c>
      <c r="F10" s="12">
        <v>91.2</v>
      </c>
      <c r="G10" s="11">
        <v>13.31</v>
      </c>
      <c r="H10" s="9">
        <v>24090078</v>
      </c>
    </row>
    <row r="11" ht="16.5" spans="1:8">
      <c r="A11" s="54" t="s">
        <v>2891</v>
      </c>
      <c r="B11" s="9">
        <v>718</v>
      </c>
      <c r="C11" s="10">
        <v>133.5</v>
      </c>
      <c r="D11" s="11">
        <v>3.15</v>
      </c>
      <c r="E11" s="12">
        <v>76.8</v>
      </c>
      <c r="F11" s="12">
        <v>92.8</v>
      </c>
      <c r="G11" s="11">
        <v>11.57</v>
      </c>
      <c r="H11" s="9">
        <v>25100041</v>
      </c>
    </row>
    <row r="12" ht="16.5" spans="1:8">
      <c r="A12" s="54" t="s">
        <v>2892</v>
      </c>
      <c r="B12" s="9">
        <v>539.4</v>
      </c>
      <c r="C12" s="10">
        <v>216.2</v>
      </c>
      <c r="D12" s="11">
        <v>5.79</v>
      </c>
      <c r="E12" s="12">
        <v>78.8</v>
      </c>
      <c r="F12" s="12">
        <v>92.5</v>
      </c>
      <c r="G12" s="11">
        <v>11.11</v>
      </c>
      <c r="H12" s="9">
        <v>24070297</v>
      </c>
    </row>
    <row r="13" ht="16.5" spans="1:8">
      <c r="A13" s="54" t="s">
        <v>2893</v>
      </c>
      <c r="B13" s="9">
        <v>648.2</v>
      </c>
      <c r="C13" s="10">
        <v>148.3</v>
      </c>
      <c r="D13" s="11">
        <v>3.34</v>
      </c>
      <c r="E13" s="12">
        <v>72.8</v>
      </c>
      <c r="F13" s="12">
        <v>90.7</v>
      </c>
      <c r="G13" s="11">
        <v>9.99</v>
      </c>
      <c r="H13" s="9">
        <v>25100073</v>
      </c>
    </row>
    <row r="14" ht="16.5" spans="1:8">
      <c r="A14" s="39" t="s">
        <v>2894</v>
      </c>
      <c r="B14" s="9">
        <v>557.2</v>
      </c>
      <c r="C14" s="10">
        <v>97.3</v>
      </c>
      <c r="D14" s="11">
        <v>2.57</v>
      </c>
      <c r="E14" s="12">
        <v>78</v>
      </c>
      <c r="F14" s="12">
        <v>92.8</v>
      </c>
      <c r="G14" s="11">
        <v>11.98</v>
      </c>
      <c r="H14" s="9">
        <v>25100310</v>
      </c>
    </row>
    <row r="15" ht="16.5" spans="1:8">
      <c r="A15" s="54" t="s">
        <v>2895</v>
      </c>
      <c r="B15" s="9">
        <v>446.4</v>
      </c>
      <c r="C15" s="10">
        <v>193.8</v>
      </c>
      <c r="D15" s="11">
        <v>5.38</v>
      </c>
      <c r="E15" s="12">
        <v>65.6</v>
      </c>
      <c r="F15" s="12">
        <v>84.4</v>
      </c>
      <c r="G15" s="11">
        <v>12.23</v>
      </c>
      <c r="H15" s="9">
        <v>24090056</v>
      </c>
    </row>
    <row r="16" ht="16.5" spans="1:8">
      <c r="A16" s="39" t="s">
        <v>2896</v>
      </c>
      <c r="B16" s="9">
        <v>557</v>
      </c>
      <c r="C16" s="10">
        <v>101.1</v>
      </c>
      <c r="D16" s="11">
        <v>2.61</v>
      </c>
      <c r="E16" s="12">
        <v>77.8</v>
      </c>
      <c r="F16" s="12">
        <v>92.5</v>
      </c>
      <c r="G16" s="11">
        <v>11.86</v>
      </c>
      <c r="H16" s="9">
        <v>25100312</v>
      </c>
    </row>
    <row r="17" ht="16.5" spans="1:8">
      <c r="A17" s="54" t="s">
        <v>2897</v>
      </c>
      <c r="B17" s="9">
        <v>217.6</v>
      </c>
      <c r="C17" s="10">
        <v>191.2</v>
      </c>
      <c r="D17" s="11">
        <v>5.38</v>
      </c>
      <c r="E17" s="12">
        <v>65.8</v>
      </c>
      <c r="F17" s="12">
        <v>84.7</v>
      </c>
      <c r="G17" s="11">
        <v>12.15</v>
      </c>
      <c r="H17" s="9">
        <v>24090057</v>
      </c>
    </row>
    <row r="18" ht="16.5" spans="1:8">
      <c r="A18" s="39" t="s">
        <v>2898</v>
      </c>
      <c r="B18" s="9">
        <v>832.6</v>
      </c>
      <c r="C18" s="10">
        <v>93.1</v>
      </c>
      <c r="D18" s="11">
        <v>2.8</v>
      </c>
      <c r="E18" s="12">
        <v>75</v>
      </c>
      <c r="F18" s="12">
        <v>94.6</v>
      </c>
      <c r="G18" s="11">
        <v>13.32</v>
      </c>
      <c r="H18" s="9">
        <v>25070173</v>
      </c>
    </row>
    <row r="19" ht="16.5" spans="1:8">
      <c r="A19" s="54" t="s">
        <v>2899</v>
      </c>
      <c r="B19" s="97">
        <v>196.6</v>
      </c>
      <c r="C19" s="98">
        <v>179.4</v>
      </c>
      <c r="D19" s="99">
        <v>5.13</v>
      </c>
      <c r="E19" s="100">
        <v>64.5</v>
      </c>
      <c r="F19" s="100">
        <v>84.7</v>
      </c>
      <c r="G19" s="99">
        <v>10.12</v>
      </c>
      <c r="H19" s="97">
        <v>24070303</v>
      </c>
    </row>
    <row r="20" ht="16.5" spans="1:8">
      <c r="A20" s="54" t="s">
        <v>2900</v>
      </c>
      <c r="B20" s="9">
        <v>0</v>
      </c>
      <c r="C20" s="10">
        <v>197.5</v>
      </c>
      <c r="D20" s="11">
        <v>5.24</v>
      </c>
      <c r="E20" s="12">
        <v>77.8</v>
      </c>
      <c r="F20" s="12">
        <v>90.9</v>
      </c>
      <c r="G20" s="11">
        <v>12.14</v>
      </c>
      <c r="H20" s="9">
        <v>24090054</v>
      </c>
    </row>
  </sheetData>
  <conditionalFormatting sqref="A3">
    <cfRule type="duplicateValues" dxfId="0" priority="11"/>
  </conditionalFormatting>
  <conditionalFormatting sqref="A4">
    <cfRule type="duplicateValues" dxfId="0" priority="10"/>
  </conditionalFormatting>
  <conditionalFormatting sqref="A5">
    <cfRule type="duplicateValues" dxfId="0" priority="9"/>
  </conditionalFormatting>
  <conditionalFormatting sqref="A10">
    <cfRule type="duplicateValues" dxfId="0" priority="1"/>
  </conditionalFormatting>
  <conditionalFormatting sqref="A15">
    <cfRule type="duplicateValues" dxfId="0" priority="3"/>
  </conditionalFormatting>
  <conditionalFormatting sqref="A17">
    <cfRule type="duplicateValues" dxfId="0" priority="2"/>
  </conditionalFormatting>
  <conditionalFormatting sqref="A19">
    <cfRule type="duplicateValues" dxfId="0" priority="5"/>
  </conditionalFormatting>
  <conditionalFormatting sqref="A20">
    <cfRule type="duplicateValues" dxfId="0" priority="4"/>
  </conditionalFormatting>
  <conditionalFormatting sqref="A1:A2">
    <cfRule type="duplicateValues" dxfId="0" priority="12"/>
  </conditionalFormatting>
  <conditionalFormatting sqref="A6:A7">
    <cfRule type="duplicateValues" dxfId="0" priority="8"/>
  </conditionalFormatting>
  <conditionalFormatting sqref="A8:A9 A11:A12">
    <cfRule type="duplicateValues" dxfId="0" priority="7"/>
  </conditionalFormatting>
  <conditionalFormatting sqref="A18 A13:A14 A16">
    <cfRule type="duplicateValues" dxfId="0" priority="6"/>
  </conditionalFormatting>
  <dataValidations count="1">
    <dataValidation allowBlank="1" showInputMessage="1" showErrorMessage="1" sqref="B3:C20"/>
  </dataValidations>
  <pageMargins left="0.75" right="0.75" top="1" bottom="1" header="0.5" footer="0.5"/>
  <pageSetup paperSize="9" orientation="portrait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J1" sqref="J$1:N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1117</v>
      </c>
      <c r="B1" s="2">
        <f>SUM(B3:B30)</f>
        <v>10037.6</v>
      </c>
      <c r="C1" s="3" cm="1">
        <f t="array" ref="C1">SUMPRODUCT(C3:C30*B3:B30)/B1</f>
        <v>157.555465449908</v>
      </c>
      <c r="D1" s="4" cm="1">
        <f t="array" ref="D1">SUMPRODUCT(B3:B30*D3:D30)/B1</f>
        <v>3.83578684147605</v>
      </c>
      <c r="E1" s="3" cm="1">
        <f t="array" ref="E1">SUMPRODUCT(B3:B30*E3:E30)/B1</f>
        <v>79.3289611062405</v>
      </c>
      <c r="F1" s="3" cm="1">
        <f t="array" ref="F1">SUMPRODUCT(B3:B30*F3:F30)/B1</f>
        <v>92.573611221806</v>
      </c>
      <c r="G1" s="3" cm="1">
        <f t="array" ref="G1">SUMPRODUCT(B3:B30*G3:G30)/B1</f>
        <v>11.6888031003427</v>
      </c>
    </row>
    <row r="2" ht="16.5" spans="1:8">
      <c r="A2" s="5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8" t="s">
        <v>2901</v>
      </c>
      <c r="B3" s="9">
        <v>770</v>
      </c>
      <c r="C3" s="10">
        <v>170.3</v>
      </c>
      <c r="D3" s="11">
        <v>3.79</v>
      </c>
      <c r="E3" s="12">
        <v>84.7</v>
      </c>
      <c r="F3" s="12">
        <v>94.6</v>
      </c>
      <c r="G3" s="11">
        <v>12.1</v>
      </c>
      <c r="H3" s="9">
        <v>25100354</v>
      </c>
    </row>
    <row r="4" ht="16.5" spans="1:8">
      <c r="A4" s="8" t="s">
        <v>2902</v>
      </c>
      <c r="B4" s="9">
        <v>687.4</v>
      </c>
      <c r="C4" s="10">
        <v>166.3</v>
      </c>
      <c r="D4" s="11">
        <v>3.73</v>
      </c>
      <c r="E4" s="12">
        <v>84.8</v>
      </c>
      <c r="F4" s="12">
        <v>94.7</v>
      </c>
      <c r="G4" s="11">
        <v>12.01</v>
      </c>
      <c r="H4" s="9">
        <v>25100355</v>
      </c>
    </row>
    <row r="5" ht="16.5" spans="1:8">
      <c r="A5" s="96" t="s">
        <v>2903</v>
      </c>
      <c r="B5" s="97">
        <v>667</v>
      </c>
      <c r="C5" s="98">
        <v>165.6</v>
      </c>
      <c r="D5" s="99">
        <v>3.58</v>
      </c>
      <c r="E5" s="100">
        <v>71.8</v>
      </c>
      <c r="F5" s="100">
        <v>87</v>
      </c>
      <c r="G5" s="99">
        <v>10.89</v>
      </c>
      <c r="H5" s="97">
        <v>25100358</v>
      </c>
    </row>
    <row r="6" ht="16.5" spans="1:8">
      <c r="A6" s="39" t="s">
        <v>2904</v>
      </c>
      <c r="B6" s="9">
        <v>528.8</v>
      </c>
      <c r="C6" s="10">
        <v>146.5</v>
      </c>
      <c r="D6" s="11">
        <v>3.58</v>
      </c>
      <c r="E6" s="12">
        <v>73.4</v>
      </c>
      <c r="F6" s="12">
        <v>89.4</v>
      </c>
      <c r="G6" s="11">
        <v>11.24</v>
      </c>
      <c r="H6" s="9">
        <v>25100175</v>
      </c>
    </row>
    <row r="7" ht="16.5" spans="1:8">
      <c r="A7" s="39" t="s">
        <v>2905</v>
      </c>
      <c r="B7" s="9">
        <v>528.4</v>
      </c>
      <c r="C7" s="10">
        <v>149.4</v>
      </c>
      <c r="D7" s="11">
        <v>3.61</v>
      </c>
      <c r="E7" s="12">
        <v>73.4</v>
      </c>
      <c r="F7" s="12">
        <v>89.4</v>
      </c>
      <c r="G7" s="11">
        <v>11.13</v>
      </c>
      <c r="H7" s="9">
        <v>25100176</v>
      </c>
    </row>
    <row r="8" ht="16.5" spans="1:8">
      <c r="A8" s="54" t="s">
        <v>2906</v>
      </c>
      <c r="B8" s="9">
        <v>539</v>
      </c>
      <c r="C8" s="10">
        <v>209.8</v>
      </c>
      <c r="D8" s="11">
        <v>6.35</v>
      </c>
      <c r="E8" s="12">
        <v>75.2</v>
      </c>
      <c r="F8" s="12">
        <v>89.9</v>
      </c>
      <c r="G8" s="11">
        <v>12.29</v>
      </c>
      <c r="H8" s="9">
        <v>24090134</v>
      </c>
    </row>
    <row r="9" ht="16.5" spans="1:8">
      <c r="A9" s="39" t="s">
        <v>2907</v>
      </c>
      <c r="B9" s="9">
        <v>487.2</v>
      </c>
      <c r="C9" s="10">
        <v>138.5</v>
      </c>
      <c r="D9" s="11">
        <v>3.46</v>
      </c>
      <c r="E9" s="12">
        <v>73.7</v>
      </c>
      <c r="F9" s="12">
        <v>89.9</v>
      </c>
      <c r="G9" s="11">
        <v>11.17</v>
      </c>
      <c r="H9" s="9">
        <v>25100177</v>
      </c>
    </row>
    <row r="10" ht="16.5" spans="1:8">
      <c r="A10" s="39" t="s">
        <v>2908</v>
      </c>
      <c r="B10" s="9">
        <v>719.6</v>
      </c>
      <c r="C10" s="10">
        <v>136.2</v>
      </c>
      <c r="D10" s="11">
        <v>3.4</v>
      </c>
      <c r="E10" s="12">
        <v>72.3</v>
      </c>
      <c r="F10" s="12">
        <v>88.9</v>
      </c>
      <c r="G10" s="11">
        <v>11.21</v>
      </c>
      <c r="H10" s="9">
        <v>25100178</v>
      </c>
    </row>
    <row r="11" ht="16.5" spans="1:8">
      <c r="A11" s="39" t="s">
        <v>2909</v>
      </c>
      <c r="B11" s="9">
        <v>803</v>
      </c>
      <c r="C11" s="10">
        <v>228.1</v>
      </c>
      <c r="D11" s="11">
        <v>3.99</v>
      </c>
      <c r="E11" s="12">
        <v>90</v>
      </c>
      <c r="F11" s="12">
        <v>98.6</v>
      </c>
      <c r="G11" s="11">
        <v>11.71</v>
      </c>
      <c r="H11" s="9">
        <v>25070248</v>
      </c>
    </row>
    <row r="12" ht="16.5" spans="1:8">
      <c r="A12" s="54" t="s">
        <v>2910</v>
      </c>
      <c r="B12" s="9">
        <v>532</v>
      </c>
      <c r="C12" s="10">
        <v>202.4</v>
      </c>
      <c r="D12" s="11">
        <v>6.24</v>
      </c>
      <c r="E12" s="12">
        <v>74.8</v>
      </c>
      <c r="F12" s="12">
        <v>89.6</v>
      </c>
      <c r="G12" s="11">
        <v>12.18</v>
      </c>
      <c r="H12" s="9">
        <v>24090135</v>
      </c>
    </row>
    <row r="13" ht="16.5" spans="1:8">
      <c r="A13" s="39" t="s">
        <v>2911</v>
      </c>
      <c r="B13" s="9">
        <v>417.6</v>
      </c>
      <c r="C13" s="10">
        <v>105.4</v>
      </c>
      <c r="D13" s="11">
        <v>2.61</v>
      </c>
      <c r="E13" s="12">
        <v>79.8</v>
      </c>
      <c r="F13" s="12">
        <v>93.6</v>
      </c>
      <c r="G13" s="11">
        <v>10.46</v>
      </c>
      <c r="H13" s="9">
        <v>25100223</v>
      </c>
    </row>
    <row r="14" ht="16.5" spans="1:8">
      <c r="A14" s="39" t="s">
        <v>2912</v>
      </c>
      <c r="B14" s="9">
        <v>631.8</v>
      </c>
      <c r="C14" s="10">
        <v>103.2</v>
      </c>
      <c r="D14" s="11">
        <v>2.57</v>
      </c>
      <c r="E14" s="12">
        <v>78.6</v>
      </c>
      <c r="F14" s="12">
        <v>92.9</v>
      </c>
      <c r="G14" s="11">
        <v>10.23</v>
      </c>
      <c r="H14" s="9">
        <v>25100224</v>
      </c>
    </row>
    <row r="15" ht="16.5" spans="1:8">
      <c r="A15" s="54" t="s">
        <v>2913</v>
      </c>
      <c r="B15" s="9">
        <v>520.4</v>
      </c>
      <c r="C15" s="10">
        <v>216</v>
      </c>
      <c r="D15" s="11">
        <v>6.38</v>
      </c>
      <c r="E15" s="12">
        <v>73.1</v>
      </c>
      <c r="F15" s="12">
        <v>89.2</v>
      </c>
      <c r="G15" s="11">
        <v>12.21</v>
      </c>
      <c r="H15" s="9">
        <v>24090163</v>
      </c>
    </row>
    <row r="16" ht="16.5" spans="1:8">
      <c r="A16" s="54" t="s">
        <v>2914</v>
      </c>
      <c r="B16" s="9">
        <v>529.2</v>
      </c>
      <c r="C16" s="10">
        <v>105.7</v>
      </c>
      <c r="D16" s="11">
        <v>2.61</v>
      </c>
      <c r="E16" s="12">
        <v>84.3</v>
      </c>
      <c r="F16" s="12">
        <v>95</v>
      </c>
      <c r="G16" s="11">
        <v>14.93</v>
      </c>
      <c r="H16" s="9">
        <v>24100164</v>
      </c>
    </row>
    <row r="17" ht="16.5" spans="1:8">
      <c r="A17" s="39" t="s">
        <v>2915</v>
      </c>
      <c r="B17" s="9">
        <v>0</v>
      </c>
      <c r="C17" s="10">
        <v>98</v>
      </c>
      <c r="D17" s="11">
        <v>2.54</v>
      </c>
      <c r="E17" s="12">
        <v>76.9</v>
      </c>
      <c r="F17" s="12">
        <v>91.9</v>
      </c>
      <c r="G17" s="11">
        <v>10.41</v>
      </c>
      <c r="H17" s="67">
        <v>25100225</v>
      </c>
    </row>
    <row r="18" ht="16.5" spans="1:8">
      <c r="A18" s="54" t="s">
        <v>2916</v>
      </c>
      <c r="B18" s="9">
        <v>493.8</v>
      </c>
      <c r="C18" s="10">
        <v>210.7</v>
      </c>
      <c r="D18" s="11">
        <v>4.61</v>
      </c>
      <c r="E18" s="12">
        <v>89.2</v>
      </c>
      <c r="F18" s="12">
        <v>96.6</v>
      </c>
      <c r="G18" s="11">
        <v>13.73</v>
      </c>
      <c r="H18" s="9">
        <v>24090073</v>
      </c>
    </row>
    <row r="19" ht="16.5" spans="1:8">
      <c r="A19" s="39" t="s">
        <v>2355</v>
      </c>
      <c r="B19" s="9">
        <v>543.4</v>
      </c>
      <c r="C19" s="10">
        <v>107.6</v>
      </c>
      <c r="D19" s="11">
        <v>2.87</v>
      </c>
      <c r="E19" s="12">
        <v>81.6</v>
      </c>
      <c r="F19" s="12">
        <v>96.9</v>
      </c>
      <c r="G19" s="11">
        <v>11.52</v>
      </c>
      <c r="H19" s="9">
        <v>25040309</v>
      </c>
    </row>
    <row r="20" ht="16.5" spans="1:8">
      <c r="A20" s="18" t="s">
        <v>2917</v>
      </c>
      <c r="B20" s="14">
        <v>639</v>
      </c>
      <c r="C20" s="15">
        <v>93.4</v>
      </c>
      <c r="D20" s="16">
        <v>2.35</v>
      </c>
      <c r="E20" s="17">
        <v>82.5</v>
      </c>
      <c r="F20" s="17">
        <v>95.2</v>
      </c>
      <c r="G20" s="16">
        <v>10.21</v>
      </c>
      <c r="H20" s="14">
        <v>25100026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0"/>
  </dataValidations>
  <pageMargins left="0.75" right="0.75" top="1" bottom="1" header="0.5" footer="0.5"/>
  <pageSetup paperSize="9" orientation="portrait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E26" sqref="E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1118</v>
      </c>
      <c r="B1" s="2">
        <f>SUM(B3:B30)</f>
        <v>10123.2</v>
      </c>
      <c r="C1" s="3" cm="1">
        <f t="array" ref="C1">SUMPRODUCT(C3:C30*B3:B30)/B1</f>
        <v>219.176746483325</v>
      </c>
      <c r="D1" s="4" cm="1">
        <f t="array" ref="D1">SUMPRODUCT(B3:B30*D3:D30)/B1</f>
        <v>4.89095740477319</v>
      </c>
      <c r="E1" s="3" cm="1">
        <f t="array" ref="E1">SUMPRODUCT(B3:B30*E3:E30)/B1</f>
        <v>81.5559842737474</v>
      </c>
      <c r="F1" s="3" cm="1">
        <f t="array" ref="F1">SUMPRODUCT(B3:B30*F3:F30)/B1</f>
        <v>93.7670005531848</v>
      </c>
    </row>
    <row r="2" ht="16.5" spans="1:7">
      <c r="A2" s="5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23" t="s">
        <v>2918</v>
      </c>
      <c r="B3" s="14">
        <v>323.6</v>
      </c>
      <c r="C3" s="15">
        <v>242.3</v>
      </c>
      <c r="D3" s="16">
        <v>5.27</v>
      </c>
      <c r="E3" s="17">
        <v>87.2</v>
      </c>
      <c r="F3" s="17">
        <v>97.2</v>
      </c>
      <c r="G3" s="14">
        <v>25020302</v>
      </c>
    </row>
    <row r="4" ht="16.5" spans="1:7">
      <c r="A4" s="26" t="s">
        <v>2919</v>
      </c>
      <c r="B4" s="14">
        <v>202</v>
      </c>
      <c r="C4" s="15">
        <v>227.8</v>
      </c>
      <c r="D4" s="16">
        <v>5.35</v>
      </c>
      <c r="E4" s="17">
        <v>83.2</v>
      </c>
      <c r="F4" s="17">
        <v>95.6</v>
      </c>
      <c r="G4" s="14">
        <v>25040437</v>
      </c>
    </row>
    <row r="5" ht="16.5" spans="1:7">
      <c r="A5" s="86" t="s">
        <v>2920</v>
      </c>
      <c r="B5" s="14">
        <v>476.6</v>
      </c>
      <c r="C5" s="15">
        <v>236.2</v>
      </c>
      <c r="D5" s="16">
        <v>4.66</v>
      </c>
      <c r="E5" s="17">
        <v>91</v>
      </c>
      <c r="F5" s="17">
        <v>98.1</v>
      </c>
      <c r="G5" s="14">
        <v>25100246</v>
      </c>
    </row>
    <row r="6" ht="16.5" spans="1:7">
      <c r="A6" s="86" t="s">
        <v>2921</v>
      </c>
      <c r="B6" s="14">
        <v>572.2</v>
      </c>
      <c r="C6" s="15">
        <v>238.5</v>
      </c>
      <c r="D6" s="16">
        <v>4.72</v>
      </c>
      <c r="E6" s="17">
        <v>89.7</v>
      </c>
      <c r="F6" s="17">
        <v>97.2</v>
      </c>
      <c r="G6" s="14">
        <v>25100249</v>
      </c>
    </row>
    <row r="7" ht="16.5" spans="1:7">
      <c r="A7" s="95" t="s">
        <v>2922</v>
      </c>
      <c r="B7" s="14">
        <v>306</v>
      </c>
      <c r="C7" s="15">
        <v>213.5</v>
      </c>
      <c r="D7" s="16">
        <v>4.77</v>
      </c>
      <c r="E7" s="17">
        <v>87.2</v>
      </c>
      <c r="F7" s="17">
        <v>97.6</v>
      </c>
      <c r="G7" s="14">
        <v>25060053</v>
      </c>
    </row>
    <row r="8" ht="16.5" spans="1:7">
      <c r="A8" s="95" t="s">
        <v>2923</v>
      </c>
      <c r="B8" s="14">
        <v>274.6</v>
      </c>
      <c r="C8" s="15">
        <v>212.3</v>
      </c>
      <c r="D8" s="16">
        <v>5</v>
      </c>
      <c r="E8" s="17">
        <v>87.5</v>
      </c>
      <c r="F8" s="17">
        <v>97.4</v>
      </c>
      <c r="G8" s="14">
        <v>25060067</v>
      </c>
    </row>
    <row r="9" ht="16.5" spans="1:7">
      <c r="A9" s="26" t="s">
        <v>2924</v>
      </c>
      <c r="B9" s="14">
        <v>450.2</v>
      </c>
      <c r="C9" s="15">
        <v>174.6</v>
      </c>
      <c r="D9" s="16">
        <v>4.8</v>
      </c>
      <c r="E9" s="17">
        <v>80.2</v>
      </c>
      <c r="F9" s="17">
        <v>94.3</v>
      </c>
      <c r="G9" s="14">
        <v>25040483</v>
      </c>
    </row>
    <row r="10" ht="16.5" spans="1:7">
      <c r="A10" s="18" t="s">
        <v>2925</v>
      </c>
      <c r="B10" s="14">
        <v>650</v>
      </c>
      <c r="C10" s="15">
        <v>292.8</v>
      </c>
      <c r="D10" s="16">
        <v>5.52</v>
      </c>
      <c r="E10" s="17">
        <v>81.6</v>
      </c>
      <c r="F10" s="17">
        <v>93.2</v>
      </c>
      <c r="G10" s="14">
        <v>25100048</v>
      </c>
    </row>
    <row r="11" ht="16.5" spans="1:7">
      <c r="A11" s="23" t="s">
        <v>2926</v>
      </c>
      <c r="B11" s="14">
        <v>591.4</v>
      </c>
      <c r="C11" s="15">
        <v>211.7</v>
      </c>
      <c r="D11" s="16">
        <v>4.75</v>
      </c>
      <c r="E11" s="17">
        <v>75.5</v>
      </c>
      <c r="F11" s="17">
        <v>89</v>
      </c>
      <c r="G11" s="24">
        <v>25100238</v>
      </c>
    </row>
    <row r="12" ht="16.5" spans="1:7">
      <c r="A12" s="23" t="s">
        <v>2927</v>
      </c>
      <c r="B12" s="14">
        <v>500.8</v>
      </c>
      <c r="C12" s="15">
        <v>288.8</v>
      </c>
      <c r="D12" s="16">
        <v>5.11</v>
      </c>
      <c r="E12" s="17">
        <v>92.4</v>
      </c>
      <c r="F12" s="17">
        <v>98.8</v>
      </c>
      <c r="G12" s="14">
        <v>25020379</v>
      </c>
    </row>
    <row r="13" ht="16.5" spans="1:7">
      <c r="A13" s="23" t="s">
        <v>2928</v>
      </c>
      <c r="B13" s="14">
        <v>573.4</v>
      </c>
      <c r="C13" s="15">
        <v>150.7</v>
      </c>
      <c r="D13" s="16">
        <v>3.58</v>
      </c>
      <c r="E13" s="17">
        <v>67</v>
      </c>
      <c r="F13" s="17">
        <v>85.7</v>
      </c>
      <c r="G13" s="14">
        <v>25100152</v>
      </c>
    </row>
    <row r="14" ht="16.5" spans="1:7">
      <c r="A14" s="26" t="s">
        <v>2929</v>
      </c>
      <c r="B14" s="14">
        <v>253.8</v>
      </c>
      <c r="C14" s="15">
        <v>182.6</v>
      </c>
      <c r="D14" s="16">
        <v>5.02</v>
      </c>
      <c r="E14" s="17">
        <v>80.4</v>
      </c>
      <c r="F14" s="17">
        <v>94.4</v>
      </c>
      <c r="G14" s="14">
        <v>25040481</v>
      </c>
    </row>
    <row r="15" ht="16.5" spans="1:7">
      <c r="A15" s="26" t="s">
        <v>2930</v>
      </c>
      <c r="B15" s="14">
        <v>251</v>
      </c>
      <c r="C15" s="15">
        <v>200.8</v>
      </c>
      <c r="D15" s="16">
        <v>5.63</v>
      </c>
      <c r="E15" s="17">
        <v>82.6</v>
      </c>
      <c r="F15" s="17">
        <v>95.4</v>
      </c>
      <c r="G15" s="14">
        <v>25040480</v>
      </c>
    </row>
    <row r="16" ht="16.5" spans="1:7">
      <c r="A16" s="23" t="s">
        <v>2931</v>
      </c>
      <c r="B16" s="14">
        <v>568</v>
      </c>
      <c r="C16" s="15">
        <v>240.1</v>
      </c>
      <c r="D16" s="16">
        <v>4.38</v>
      </c>
      <c r="E16" s="17">
        <v>90</v>
      </c>
      <c r="F16" s="17">
        <v>96.8</v>
      </c>
      <c r="G16" s="24">
        <v>25100233</v>
      </c>
    </row>
    <row r="17" ht="16.5" spans="1:7">
      <c r="A17" s="23" t="s">
        <v>2932</v>
      </c>
      <c r="B17" s="14">
        <v>719.4</v>
      </c>
      <c r="C17" s="15">
        <v>192.1</v>
      </c>
      <c r="D17" s="16">
        <v>3.99</v>
      </c>
      <c r="E17" s="17">
        <v>73.9</v>
      </c>
      <c r="F17" s="17">
        <v>90.2</v>
      </c>
      <c r="G17" s="14">
        <v>25100133</v>
      </c>
    </row>
    <row r="18" ht="16.5" spans="1:7">
      <c r="A18" s="95" t="s">
        <v>2933</v>
      </c>
      <c r="B18" s="14">
        <v>538</v>
      </c>
      <c r="C18" s="15">
        <v>210.9</v>
      </c>
      <c r="D18" s="16">
        <v>5.63</v>
      </c>
      <c r="E18" s="17">
        <v>71.7</v>
      </c>
      <c r="F18" s="17">
        <v>88.7</v>
      </c>
      <c r="G18" s="14">
        <v>25060015</v>
      </c>
    </row>
    <row r="19" ht="16.5" spans="1:7">
      <c r="A19" s="23" t="s">
        <v>2934</v>
      </c>
      <c r="B19" s="14">
        <v>457.8</v>
      </c>
      <c r="C19" s="15">
        <v>239.2</v>
      </c>
      <c r="D19" s="16">
        <v>4.41</v>
      </c>
      <c r="E19" s="17">
        <v>89.8</v>
      </c>
      <c r="F19" s="17">
        <v>96.7</v>
      </c>
      <c r="G19" s="24">
        <v>25100234</v>
      </c>
    </row>
    <row r="20" ht="16.5" spans="1:7">
      <c r="A20" s="26" t="s">
        <v>2935</v>
      </c>
      <c r="B20" s="14">
        <v>512.2</v>
      </c>
      <c r="C20" s="15">
        <v>188.1</v>
      </c>
      <c r="D20" s="16">
        <v>4.8</v>
      </c>
      <c r="E20" s="17">
        <v>76.4</v>
      </c>
      <c r="F20" s="17">
        <v>92.8</v>
      </c>
      <c r="G20" s="14">
        <v>25040461</v>
      </c>
    </row>
    <row r="21" ht="16.5" spans="1:7">
      <c r="A21" s="23" t="s">
        <v>2936</v>
      </c>
      <c r="B21" s="14">
        <v>301.6</v>
      </c>
      <c r="C21" s="15">
        <v>270.2</v>
      </c>
      <c r="D21" s="16">
        <v>5.19</v>
      </c>
      <c r="E21" s="17">
        <v>90.8</v>
      </c>
      <c r="F21" s="17">
        <v>98.3</v>
      </c>
      <c r="G21" s="14">
        <v>24120559</v>
      </c>
    </row>
    <row r="22" ht="16.5" spans="1:7">
      <c r="A22" s="95" t="s">
        <v>2937</v>
      </c>
      <c r="B22" s="14">
        <v>705</v>
      </c>
      <c r="C22" s="15">
        <v>211.6</v>
      </c>
      <c r="D22" s="16">
        <v>5.63</v>
      </c>
      <c r="E22" s="17">
        <v>72.2</v>
      </c>
      <c r="F22" s="17">
        <v>89.2</v>
      </c>
      <c r="G22" s="14">
        <v>25060016</v>
      </c>
    </row>
    <row r="23" ht="16.5" spans="1:7">
      <c r="A23" s="26" t="s">
        <v>2938</v>
      </c>
      <c r="B23" s="14">
        <v>343.6</v>
      </c>
      <c r="C23" s="15">
        <v>173.4</v>
      </c>
      <c r="D23" s="16">
        <v>4.75</v>
      </c>
      <c r="E23" s="17">
        <v>80.3</v>
      </c>
      <c r="F23" s="17">
        <v>94.3</v>
      </c>
      <c r="G23" s="14">
        <v>25040482</v>
      </c>
    </row>
    <row r="24" ht="16.5" spans="1:7">
      <c r="A24" s="26" t="s">
        <v>2939</v>
      </c>
      <c r="B24" s="14">
        <v>289.8</v>
      </c>
      <c r="C24" s="15">
        <v>205</v>
      </c>
      <c r="D24" s="16">
        <v>5.6</v>
      </c>
      <c r="E24" s="17">
        <v>82.8</v>
      </c>
      <c r="F24" s="17">
        <v>95.5</v>
      </c>
      <c r="G24" s="14">
        <v>25040479</v>
      </c>
    </row>
    <row r="25" ht="16.5" spans="1:7">
      <c r="A25" s="26" t="s">
        <v>2940</v>
      </c>
      <c r="B25" s="14">
        <v>262.2</v>
      </c>
      <c r="C25" s="15">
        <v>214.4</v>
      </c>
      <c r="D25" s="16">
        <v>5.57</v>
      </c>
      <c r="E25" s="17">
        <v>86.1</v>
      </c>
      <c r="F25" s="17">
        <v>96.4</v>
      </c>
      <c r="G25" s="14">
        <v>25040477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24 B4:B8 B10:B22 C3:C25"/>
  </dataValidations>
  <pageMargins left="0.75" right="0.75" top="1" bottom="1" header="0.5" footer="0.5"/>
  <pageSetup paperSize="9" orientation="portrait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K21" sqref="K21:K22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1119</v>
      </c>
      <c r="B1" s="2">
        <f>SUM(B3:B30)</f>
        <v>10065.4</v>
      </c>
      <c r="C1" s="3" cm="1">
        <f t="array" ref="C1">SUMPRODUCT(C3:C30*B3:B30)/B1</f>
        <v>266.407882448785</v>
      </c>
      <c r="D1" s="4" cm="1">
        <f t="array" ref="D1">SUMPRODUCT(B3:B30*D3:D30)/B1</f>
        <v>4.91347626522542</v>
      </c>
      <c r="E1" s="3" cm="1">
        <f t="array" ref="E1">SUMPRODUCT(B3:B30*E3:E30)/B1</f>
        <v>89.6729449400918</v>
      </c>
      <c r="F1" s="3" cm="1">
        <f t="array" ref="F1">SUMPRODUCT(B3:B30*F3:F30)/B1</f>
        <v>97.3666262642319</v>
      </c>
    </row>
    <row r="2" ht="16.5" spans="1:7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54" t="s">
        <v>2941</v>
      </c>
      <c r="B3" s="9">
        <v>534.4</v>
      </c>
      <c r="C3" s="10">
        <v>286</v>
      </c>
      <c r="D3" s="11">
        <v>5.05</v>
      </c>
      <c r="E3" s="12">
        <v>87.7</v>
      </c>
      <c r="F3" s="12">
        <v>96.4</v>
      </c>
      <c r="G3" s="56">
        <v>25100063</v>
      </c>
    </row>
    <row r="4" ht="16.5" spans="1:7">
      <c r="A4" s="39" t="s">
        <v>2942</v>
      </c>
      <c r="B4" s="9">
        <v>513</v>
      </c>
      <c r="C4" s="10">
        <v>260.7</v>
      </c>
      <c r="D4" s="11">
        <v>5.16</v>
      </c>
      <c r="E4" s="12">
        <v>92.1</v>
      </c>
      <c r="F4" s="12">
        <v>98.7</v>
      </c>
      <c r="G4" s="56">
        <v>24120560</v>
      </c>
    </row>
    <row r="5" ht="16.5" spans="1:7">
      <c r="A5" s="39" t="s">
        <v>2943</v>
      </c>
      <c r="B5" s="9">
        <v>510</v>
      </c>
      <c r="C5" s="10">
        <v>279.4</v>
      </c>
      <c r="D5" s="11">
        <v>4.66</v>
      </c>
      <c r="E5" s="12">
        <v>90.9</v>
      </c>
      <c r="F5" s="12">
        <v>98.1</v>
      </c>
      <c r="G5" s="56">
        <v>25040369</v>
      </c>
    </row>
    <row r="6" ht="16.5" spans="1:7">
      <c r="A6" s="39" t="s">
        <v>2944</v>
      </c>
      <c r="B6" s="9">
        <v>505.2</v>
      </c>
      <c r="C6" s="10">
        <v>273.4</v>
      </c>
      <c r="D6" s="11">
        <v>5.19</v>
      </c>
      <c r="E6" s="12">
        <v>89.1</v>
      </c>
      <c r="F6" s="12">
        <v>97.5</v>
      </c>
      <c r="G6" s="56">
        <v>24120531</v>
      </c>
    </row>
    <row r="7" ht="16.5" spans="1:7">
      <c r="A7" s="54" t="s">
        <v>2945</v>
      </c>
      <c r="B7" s="9">
        <v>570</v>
      </c>
      <c r="C7" s="10">
        <v>285.4</v>
      </c>
      <c r="D7" s="11">
        <v>5.38</v>
      </c>
      <c r="E7" s="12">
        <v>80.4</v>
      </c>
      <c r="F7" s="12">
        <v>92.8</v>
      </c>
      <c r="G7" s="56">
        <v>25100049</v>
      </c>
    </row>
    <row r="8" ht="16.5" spans="1:7">
      <c r="A8" s="54" t="s">
        <v>2946</v>
      </c>
      <c r="B8" s="9">
        <v>527.8</v>
      </c>
      <c r="C8" s="10">
        <v>260.3</v>
      </c>
      <c r="D8" s="11">
        <v>4.69</v>
      </c>
      <c r="E8" s="12">
        <v>89.4</v>
      </c>
      <c r="F8" s="12">
        <v>96.8</v>
      </c>
      <c r="G8" s="56">
        <v>24070285</v>
      </c>
    </row>
    <row r="9" ht="16.5" spans="1:7">
      <c r="A9" s="39" t="s">
        <v>2947</v>
      </c>
      <c r="B9" s="9">
        <v>534.4</v>
      </c>
      <c r="C9" s="10">
        <v>287.2</v>
      </c>
      <c r="D9" s="11">
        <v>5.05</v>
      </c>
      <c r="E9" s="12">
        <v>93.2</v>
      </c>
      <c r="F9" s="12">
        <v>99.2</v>
      </c>
      <c r="G9" s="56">
        <v>25010404</v>
      </c>
    </row>
    <row r="10" ht="16.5" spans="1:7">
      <c r="A10" s="54" t="s">
        <v>2948</v>
      </c>
      <c r="B10" s="9">
        <v>175.2</v>
      </c>
      <c r="C10" s="10">
        <v>166.4</v>
      </c>
      <c r="D10" s="11">
        <v>3.03</v>
      </c>
      <c r="E10" s="12">
        <v>87.3</v>
      </c>
      <c r="F10" s="12">
        <v>95</v>
      </c>
      <c r="G10" s="56">
        <v>24090008</v>
      </c>
    </row>
    <row r="11" ht="16.5" spans="1:7">
      <c r="A11" s="54" t="s">
        <v>2949</v>
      </c>
      <c r="B11" s="9">
        <v>484.8</v>
      </c>
      <c r="C11" s="10">
        <v>112.6</v>
      </c>
      <c r="D11" s="11">
        <v>2.48</v>
      </c>
      <c r="E11" s="12">
        <v>82.6</v>
      </c>
      <c r="F11" s="12">
        <v>93.3</v>
      </c>
      <c r="G11" s="56">
        <v>24090010</v>
      </c>
    </row>
    <row r="12" ht="16.5" spans="1:7">
      <c r="A12" s="39" t="s">
        <v>2950</v>
      </c>
      <c r="B12" s="9">
        <v>496</v>
      </c>
      <c r="C12" s="10">
        <v>285.6</v>
      </c>
      <c r="D12" s="11">
        <v>5.24</v>
      </c>
      <c r="E12" s="12">
        <v>91</v>
      </c>
      <c r="F12" s="12">
        <v>98.5</v>
      </c>
      <c r="G12" s="56">
        <v>25010427</v>
      </c>
    </row>
    <row r="13" ht="16.5" spans="1:7">
      <c r="A13" s="39" t="s">
        <v>2951</v>
      </c>
      <c r="B13" s="9">
        <v>501.6</v>
      </c>
      <c r="C13" s="10">
        <v>285.6</v>
      </c>
      <c r="D13" s="11">
        <v>5.27</v>
      </c>
      <c r="E13" s="12">
        <v>90.9</v>
      </c>
      <c r="F13" s="12">
        <v>98.6</v>
      </c>
      <c r="G13" s="56">
        <v>25010428</v>
      </c>
    </row>
    <row r="14" ht="16.5" spans="1:7">
      <c r="A14" s="39" t="s">
        <v>2952</v>
      </c>
      <c r="B14" s="9">
        <v>483</v>
      </c>
      <c r="C14" s="10">
        <v>282.6</v>
      </c>
      <c r="D14" s="11">
        <v>5.16</v>
      </c>
      <c r="E14" s="12">
        <v>92</v>
      </c>
      <c r="F14" s="12">
        <v>98.8</v>
      </c>
      <c r="G14" s="56">
        <v>25020212</v>
      </c>
    </row>
    <row r="15" ht="16.5" spans="1:7">
      <c r="A15" s="54" t="s">
        <v>2953</v>
      </c>
      <c r="B15" s="9">
        <v>542.8</v>
      </c>
      <c r="C15" s="10">
        <v>271.2</v>
      </c>
      <c r="D15" s="11">
        <v>4.57</v>
      </c>
      <c r="E15" s="12">
        <v>93.3</v>
      </c>
      <c r="F15" s="12">
        <v>97.9</v>
      </c>
      <c r="G15" s="56">
        <v>24090020</v>
      </c>
    </row>
    <row r="16" ht="16.5" spans="1:7">
      <c r="A16" s="66" t="s">
        <v>2954</v>
      </c>
      <c r="B16" s="9">
        <v>483.2</v>
      </c>
      <c r="C16" s="10">
        <v>286.5</v>
      </c>
      <c r="D16" s="11">
        <v>4.29</v>
      </c>
      <c r="E16" s="12">
        <v>90.6</v>
      </c>
      <c r="F16" s="12">
        <v>98.2</v>
      </c>
      <c r="G16" s="56">
        <v>24110336</v>
      </c>
    </row>
    <row r="17" ht="16.5" spans="1:7">
      <c r="A17" s="39" t="s">
        <v>2955</v>
      </c>
      <c r="B17" s="9">
        <v>354.4</v>
      </c>
      <c r="C17" s="10">
        <v>280</v>
      </c>
      <c r="D17" s="11">
        <v>5.05</v>
      </c>
      <c r="E17" s="12">
        <v>91.4</v>
      </c>
      <c r="F17" s="12">
        <v>98.5</v>
      </c>
      <c r="G17" s="56">
        <v>25020321</v>
      </c>
    </row>
    <row r="18" ht="16.5" spans="1:7">
      <c r="A18" s="39" t="s">
        <v>2956</v>
      </c>
      <c r="B18" s="9">
        <v>493.4</v>
      </c>
      <c r="C18" s="10">
        <v>281.7</v>
      </c>
      <c r="D18" s="11">
        <v>5</v>
      </c>
      <c r="E18" s="12">
        <v>92.1</v>
      </c>
      <c r="F18" s="12">
        <v>98.6</v>
      </c>
      <c r="G18" s="56">
        <v>25020377</v>
      </c>
    </row>
    <row r="19" ht="16.5" spans="1:7">
      <c r="A19" s="39" t="s">
        <v>2957</v>
      </c>
      <c r="B19" s="9">
        <v>499.6</v>
      </c>
      <c r="C19" s="10">
        <v>284.2</v>
      </c>
      <c r="D19" s="11">
        <v>5.13</v>
      </c>
      <c r="E19" s="12">
        <v>92.4</v>
      </c>
      <c r="F19" s="12">
        <v>98.9</v>
      </c>
      <c r="G19" s="56">
        <v>25020380</v>
      </c>
    </row>
    <row r="20" ht="16.5" spans="1:7">
      <c r="A20" s="39" t="s">
        <v>2958</v>
      </c>
      <c r="B20" s="9">
        <v>493.2</v>
      </c>
      <c r="C20" s="10">
        <v>286.2</v>
      </c>
      <c r="D20" s="11">
        <v>5.11</v>
      </c>
      <c r="E20" s="12">
        <v>92.3</v>
      </c>
      <c r="F20" s="12">
        <v>98.8</v>
      </c>
      <c r="G20" s="56">
        <v>25020378</v>
      </c>
    </row>
    <row r="21" ht="16.5" spans="1:7">
      <c r="A21" s="39" t="s">
        <v>2959</v>
      </c>
      <c r="B21" s="9">
        <v>386</v>
      </c>
      <c r="C21" s="10">
        <v>282.4</v>
      </c>
      <c r="D21" s="11">
        <v>5</v>
      </c>
      <c r="E21" s="12">
        <v>89.8</v>
      </c>
      <c r="F21" s="12">
        <v>97.8</v>
      </c>
      <c r="G21" s="56">
        <v>25030279</v>
      </c>
    </row>
    <row r="22" ht="16.5" spans="1:7">
      <c r="A22" s="18" t="s">
        <v>2501</v>
      </c>
      <c r="B22" s="14">
        <v>428.4</v>
      </c>
      <c r="C22" s="15">
        <v>250.7</v>
      </c>
      <c r="D22" s="16">
        <v>5.22</v>
      </c>
      <c r="E22" s="17">
        <v>80.8</v>
      </c>
      <c r="F22" s="17">
        <v>93.4</v>
      </c>
      <c r="G22" s="14">
        <v>25100002</v>
      </c>
    </row>
    <row r="23" ht="16.5" spans="1:7">
      <c r="A23" s="18" t="s">
        <v>2960</v>
      </c>
      <c r="B23" s="14">
        <v>549</v>
      </c>
      <c r="C23" s="15">
        <v>240.8</v>
      </c>
      <c r="D23" s="16">
        <v>6.09</v>
      </c>
      <c r="E23" s="17">
        <v>92.1</v>
      </c>
      <c r="F23" s="17">
        <v>97.7</v>
      </c>
      <c r="G23" s="14">
        <v>24090099</v>
      </c>
    </row>
  </sheetData>
  <conditionalFormatting sqref="A1:A13">
    <cfRule type="duplicateValues" dxfId="0" priority="3"/>
  </conditionalFormatting>
  <conditionalFormatting sqref="A14:A15">
    <cfRule type="duplicateValues" dxfId="0" priority="2"/>
  </conditionalFormatting>
  <conditionalFormatting sqref="A16:A21">
    <cfRule type="duplicateValues" dxfId="0" priority="1"/>
  </conditionalFormatting>
  <dataValidations count="1">
    <dataValidation allowBlank="1" showInputMessage="1" showErrorMessage="1" sqref="B3:C23"/>
  </dataValidations>
  <pageMargins left="0.75" right="0.75" top="1" bottom="1" header="0.5" footer="0.5"/>
  <pageSetup paperSize="9" orientation="portrait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workbookViewId="0">
      <selection activeCell="I34" sqref="I34"/>
    </sheetView>
  </sheetViews>
  <sheetFormatPr defaultColWidth="9" defaultRowHeight="13.5"/>
  <cols>
    <col min="1" max="1" width="15.625" customWidth="1"/>
    <col min="8" max="8" width="9.375"/>
    <col min="10" max="10" width="15.625" customWidth="1"/>
    <col min="17" max="17" width="9.375"/>
  </cols>
  <sheetData>
    <row r="1" ht="16.5" spans="1:17">
      <c r="A1" s="1">
        <v>1120</v>
      </c>
      <c r="B1" s="2">
        <f>SUM(B3:B30)</f>
        <v>10134</v>
      </c>
      <c r="C1" s="3" cm="1">
        <f t="array" ref="C1">SUMPRODUCT(C3:C30*B3:B30)/B1</f>
        <v>228.830422340636</v>
      </c>
      <c r="D1" s="4" cm="1">
        <f t="array" ref="D1">SUMPRODUCT(B3:B30*D3:D30)/B1</f>
        <v>4.96875192421551</v>
      </c>
      <c r="E1" s="3" cm="1">
        <f t="array" ref="E1">SUMPRODUCT(B3:B30*E3:E30)/B1</f>
        <v>83.5358180382869</v>
      </c>
      <c r="F1" s="3" cm="1">
        <f t="array" ref="F1">SUMPRODUCT(B3:B30*F3:F30)/B1</f>
        <v>95.7896131833432</v>
      </c>
      <c r="G1" s="3" cm="1">
        <f t="array" ref="G1">SUMPRODUCT(B3:B30*G3:G30)/B1</f>
        <v>11.2264349713835</v>
      </c>
      <c r="J1" s="1">
        <v>1121</v>
      </c>
      <c r="K1" s="2">
        <f>SUM(K3:K30)</f>
        <v>10129.6</v>
      </c>
      <c r="L1" s="3" cm="1">
        <f t="array" ref="L1">SUMPRODUCT(L3:L30*K3:K30)/K1</f>
        <v>228.570508213552</v>
      </c>
      <c r="M1" s="4" cm="1">
        <f t="array" ref="M1">SUMPRODUCT(K3:K30*M3:M30)/K1</f>
        <v>4.96624229979466</v>
      </c>
      <c r="N1" s="3" cm="1">
        <f t="array" ref="N1">SUMPRODUCT(K3:K30*N3:N30)/K1</f>
        <v>85.7864417153688</v>
      </c>
      <c r="O1" s="3" cm="1">
        <f t="array" ref="O1">SUMPRODUCT(K3:K30*O3:O30)/K1</f>
        <v>96.5528490759754</v>
      </c>
      <c r="P1" s="3" cm="1">
        <f t="array" ref="P1">SUMPRODUCT(K3:K30*P3:P30)/K1</f>
        <v>11.4793831938082</v>
      </c>
    </row>
    <row r="2" ht="16.5" spans="1:17">
      <c r="A2" s="5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  <c r="J2" s="5">
        <v>200</v>
      </c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  <c r="P2" s="6" t="s">
        <v>19</v>
      </c>
    </row>
    <row r="3" ht="16.5" spans="1:17">
      <c r="A3" s="39" t="s">
        <v>2687</v>
      </c>
      <c r="B3" s="9">
        <v>392.8</v>
      </c>
      <c r="C3" s="10">
        <v>260.5</v>
      </c>
      <c r="D3" s="11">
        <v>5.55</v>
      </c>
      <c r="E3" s="12">
        <v>88.2</v>
      </c>
      <c r="F3" s="12">
        <v>97</v>
      </c>
      <c r="G3" s="11">
        <v>11.76</v>
      </c>
      <c r="H3" s="9">
        <v>25010045</v>
      </c>
      <c r="J3" s="39" t="s">
        <v>2961</v>
      </c>
      <c r="K3" s="9">
        <v>426.6</v>
      </c>
      <c r="L3" s="10">
        <v>272.9</v>
      </c>
      <c r="M3" s="11">
        <v>5.35</v>
      </c>
      <c r="N3" s="12">
        <v>90.5</v>
      </c>
      <c r="O3" s="12">
        <v>97.8</v>
      </c>
      <c r="P3" s="11">
        <v>11.94</v>
      </c>
      <c r="Q3" s="9">
        <v>25010043</v>
      </c>
    </row>
    <row r="4" ht="16.5" spans="1:17">
      <c r="A4" s="39" t="s">
        <v>2962</v>
      </c>
      <c r="B4" s="9">
        <v>299</v>
      </c>
      <c r="C4" s="10">
        <v>272.9</v>
      </c>
      <c r="D4" s="11">
        <v>5.68</v>
      </c>
      <c r="E4" s="12">
        <v>90.1</v>
      </c>
      <c r="F4" s="12">
        <v>98.1</v>
      </c>
      <c r="G4" s="11">
        <v>11.57</v>
      </c>
      <c r="H4" s="9">
        <v>25010409</v>
      </c>
      <c r="J4" s="39" t="s">
        <v>2963</v>
      </c>
      <c r="K4" s="9">
        <v>525.8</v>
      </c>
      <c r="L4" s="10">
        <v>274.1</v>
      </c>
      <c r="M4" s="11">
        <v>5.33</v>
      </c>
      <c r="N4" s="12">
        <v>90.4</v>
      </c>
      <c r="O4" s="12">
        <v>97.8</v>
      </c>
      <c r="P4" s="11">
        <v>11.94</v>
      </c>
      <c r="Q4" s="9">
        <v>25010042</v>
      </c>
    </row>
    <row r="5" ht="16.5" spans="1:17">
      <c r="A5" s="39" t="s">
        <v>2964</v>
      </c>
      <c r="B5" s="9">
        <v>479.6</v>
      </c>
      <c r="C5" s="10">
        <v>276.7</v>
      </c>
      <c r="D5" s="11">
        <v>5.44</v>
      </c>
      <c r="E5" s="12">
        <v>90.7</v>
      </c>
      <c r="F5" s="12">
        <v>98.7</v>
      </c>
      <c r="G5" s="11">
        <v>10.95</v>
      </c>
      <c r="H5" s="9">
        <v>25010237</v>
      </c>
      <c r="J5" s="39" t="s">
        <v>2965</v>
      </c>
      <c r="K5" s="9">
        <v>504</v>
      </c>
      <c r="L5" s="10">
        <v>265.5</v>
      </c>
      <c r="M5" s="11">
        <v>5.38</v>
      </c>
      <c r="N5" s="12">
        <v>90.7</v>
      </c>
      <c r="O5" s="12">
        <v>98.4</v>
      </c>
      <c r="P5" s="11">
        <v>11.15</v>
      </c>
      <c r="Q5" s="9">
        <v>25010069</v>
      </c>
    </row>
    <row r="6" ht="16.5" spans="1:17">
      <c r="A6" s="39" t="s">
        <v>2966</v>
      </c>
      <c r="B6" s="9">
        <v>306.4</v>
      </c>
      <c r="C6" s="10">
        <v>274</v>
      </c>
      <c r="D6" s="11">
        <v>5.41</v>
      </c>
      <c r="E6" s="12">
        <v>89.5</v>
      </c>
      <c r="F6" s="12">
        <v>97.6</v>
      </c>
      <c r="G6" s="11">
        <v>11.1</v>
      </c>
      <c r="H6" s="9">
        <v>25020235</v>
      </c>
      <c r="J6" s="39" t="s">
        <v>2967</v>
      </c>
      <c r="K6" s="9">
        <v>269.8</v>
      </c>
      <c r="L6" s="10">
        <v>272.8</v>
      </c>
      <c r="M6" s="11">
        <v>5.33</v>
      </c>
      <c r="N6" s="12">
        <v>89.3</v>
      </c>
      <c r="O6" s="12">
        <v>97.7</v>
      </c>
      <c r="P6" s="11">
        <v>10.94</v>
      </c>
      <c r="Q6" s="9">
        <v>25010209</v>
      </c>
    </row>
    <row r="7" ht="16.5" spans="1:17">
      <c r="A7" s="38" t="s">
        <v>925</v>
      </c>
      <c r="B7" s="34">
        <v>522.8</v>
      </c>
      <c r="C7" s="35">
        <v>202.8</v>
      </c>
      <c r="D7" s="36">
        <v>5.79</v>
      </c>
      <c r="E7" s="37">
        <v>68.5</v>
      </c>
      <c r="F7" s="37">
        <v>89.8</v>
      </c>
      <c r="G7" s="36">
        <v>10.54</v>
      </c>
      <c r="H7" s="34">
        <v>25020394</v>
      </c>
      <c r="J7" s="79" t="s">
        <v>2968</v>
      </c>
      <c r="K7" s="9">
        <v>589.4</v>
      </c>
      <c r="L7" s="10">
        <v>155.2</v>
      </c>
      <c r="M7" s="11">
        <v>4.2</v>
      </c>
      <c r="N7" s="12">
        <v>91.4</v>
      </c>
      <c r="O7" s="12">
        <v>96.2</v>
      </c>
      <c r="P7" s="11">
        <v>11.72</v>
      </c>
      <c r="Q7" s="34">
        <v>25060082</v>
      </c>
    </row>
    <row r="8" ht="16.5" spans="1:17">
      <c r="A8" s="39" t="s">
        <v>2969</v>
      </c>
      <c r="B8" s="9">
        <v>532.8</v>
      </c>
      <c r="C8" s="10">
        <v>273.9</v>
      </c>
      <c r="D8" s="11">
        <v>5.33</v>
      </c>
      <c r="E8" s="12">
        <v>88.3</v>
      </c>
      <c r="F8" s="12">
        <v>97.2</v>
      </c>
      <c r="G8" s="11">
        <v>11.42</v>
      </c>
      <c r="H8" s="9">
        <v>25020233</v>
      </c>
      <c r="J8" s="39" t="s">
        <v>2970</v>
      </c>
      <c r="K8" s="9">
        <v>513</v>
      </c>
      <c r="L8" s="10">
        <v>278.2</v>
      </c>
      <c r="M8" s="11">
        <v>5.05</v>
      </c>
      <c r="N8" s="12">
        <v>90.4</v>
      </c>
      <c r="O8" s="12">
        <v>98</v>
      </c>
      <c r="P8" s="11">
        <v>10.95</v>
      </c>
      <c r="Q8" s="9">
        <v>25010348</v>
      </c>
    </row>
    <row r="9" ht="16.5" spans="1:17">
      <c r="A9" s="66" t="s">
        <v>2971</v>
      </c>
      <c r="B9" s="9">
        <v>526.8</v>
      </c>
      <c r="C9" s="10">
        <v>179.6</v>
      </c>
      <c r="D9" s="11">
        <v>4.46</v>
      </c>
      <c r="E9" s="12">
        <v>72.3</v>
      </c>
      <c r="F9" s="12">
        <v>91.1</v>
      </c>
      <c r="G9" s="11">
        <v>11.24</v>
      </c>
      <c r="H9" s="9">
        <v>25040439</v>
      </c>
      <c r="J9" s="93">
        <v>20250715</v>
      </c>
      <c r="K9" s="6">
        <v>2000</v>
      </c>
      <c r="L9" s="93">
        <v>208</v>
      </c>
      <c r="M9" s="93">
        <v>4.89</v>
      </c>
      <c r="N9" s="93">
        <v>82.9</v>
      </c>
      <c r="O9" s="93">
        <v>96</v>
      </c>
      <c r="P9" s="6">
        <v>11.5</v>
      </c>
    </row>
    <row r="10" ht="16.5" spans="1:17">
      <c r="A10" s="39" t="s">
        <v>2972</v>
      </c>
      <c r="B10" s="9">
        <v>533.2</v>
      </c>
      <c r="C10" s="10">
        <v>274.5</v>
      </c>
      <c r="D10" s="11">
        <v>5.35</v>
      </c>
      <c r="E10" s="12">
        <v>88.9</v>
      </c>
      <c r="F10" s="12">
        <v>97.5</v>
      </c>
      <c r="G10" s="11">
        <v>10.98</v>
      </c>
      <c r="H10" s="9">
        <v>25010208</v>
      </c>
      <c r="J10" s="39" t="s">
        <v>2973</v>
      </c>
      <c r="K10" s="9">
        <v>241.8</v>
      </c>
      <c r="L10" s="10">
        <v>281</v>
      </c>
      <c r="M10" s="11">
        <v>5.38</v>
      </c>
      <c r="N10" s="12">
        <v>89.7</v>
      </c>
      <c r="O10" s="12">
        <v>97.8</v>
      </c>
      <c r="P10" s="11">
        <v>11.43</v>
      </c>
      <c r="Q10" s="9">
        <v>24120556</v>
      </c>
    </row>
    <row r="11" ht="16.5" spans="1:17">
      <c r="A11" s="79" t="s">
        <v>2974</v>
      </c>
      <c r="B11" s="9">
        <v>497.2</v>
      </c>
      <c r="C11" s="10">
        <v>177.4</v>
      </c>
      <c r="D11" s="11">
        <v>4.17</v>
      </c>
      <c r="E11" s="12">
        <v>83.6</v>
      </c>
      <c r="F11" s="12">
        <v>96.3</v>
      </c>
      <c r="G11" s="11">
        <v>11.41</v>
      </c>
      <c r="H11" s="9">
        <v>25060029</v>
      </c>
      <c r="J11" s="66" t="s">
        <v>2975</v>
      </c>
      <c r="K11" s="9">
        <v>258.2</v>
      </c>
      <c r="L11" s="10">
        <v>179</v>
      </c>
      <c r="M11" s="11">
        <v>4.43</v>
      </c>
      <c r="N11" s="12">
        <v>72.7</v>
      </c>
      <c r="O11" s="12">
        <v>90.9</v>
      </c>
      <c r="P11" s="11">
        <v>11.04</v>
      </c>
      <c r="Q11" s="9">
        <v>25040440</v>
      </c>
    </row>
    <row r="12" ht="16.5" spans="1:17">
      <c r="A12" s="39" t="s">
        <v>2976</v>
      </c>
      <c r="B12" s="9">
        <v>530.8</v>
      </c>
      <c r="C12" s="10">
        <v>277.4</v>
      </c>
      <c r="D12" s="11">
        <v>5.02</v>
      </c>
      <c r="E12" s="12">
        <v>90.3</v>
      </c>
      <c r="F12" s="12">
        <v>97.7</v>
      </c>
      <c r="G12" s="11">
        <v>10.97</v>
      </c>
      <c r="H12" s="9">
        <v>25010263</v>
      </c>
      <c r="J12" s="66" t="s">
        <v>2977</v>
      </c>
      <c r="K12" s="9">
        <v>242</v>
      </c>
      <c r="L12" s="10">
        <v>170.2</v>
      </c>
      <c r="M12" s="11">
        <v>4.34</v>
      </c>
      <c r="N12" s="12">
        <v>75.2</v>
      </c>
      <c r="O12" s="12">
        <v>92.3</v>
      </c>
      <c r="P12" s="11">
        <v>11.41</v>
      </c>
      <c r="Q12" s="9">
        <v>25040462</v>
      </c>
    </row>
    <row r="13" ht="16.5" spans="1:17">
      <c r="A13" s="66" t="s">
        <v>2978</v>
      </c>
      <c r="B13" s="9">
        <v>515.2</v>
      </c>
      <c r="C13" s="10">
        <v>189.9</v>
      </c>
      <c r="D13" s="11">
        <v>4.61</v>
      </c>
      <c r="E13" s="12">
        <v>74.8</v>
      </c>
      <c r="F13" s="12">
        <v>92.6</v>
      </c>
      <c r="G13" s="11">
        <v>11.18</v>
      </c>
      <c r="H13" s="9">
        <v>25040438</v>
      </c>
      <c r="J13" s="39" t="s">
        <v>2979</v>
      </c>
      <c r="K13" s="9">
        <v>498.4</v>
      </c>
      <c r="L13" s="10">
        <v>265.9</v>
      </c>
      <c r="M13" s="11">
        <v>5.3</v>
      </c>
      <c r="N13" s="12">
        <v>92</v>
      </c>
      <c r="O13" s="12">
        <v>98.8</v>
      </c>
      <c r="P13" s="11">
        <v>11.5</v>
      </c>
      <c r="Q13" s="9">
        <v>25020297</v>
      </c>
    </row>
    <row r="14" ht="16.5" spans="1:17">
      <c r="A14" s="39" t="s">
        <v>2980</v>
      </c>
      <c r="B14" s="9">
        <v>507.2</v>
      </c>
      <c r="C14" s="10">
        <v>275.2</v>
      </c>
      <c r="D14" s="11">
        <v>5.11</v>
      </c>
      <c r="E14" s="12">
        <v>90.5</v>
      </c>
      <c r="F14" s="12">
        <v>98.4</v>
      </c>
      <c r="G14" s="11">
        <v>11.71</v>
      </c>
      <c r="H14" s="9">
        <v>25030010</v>
      </c>
      <c r="J14" s="93">
        <v>20250715</v>
      </c>
      <c r="K14" s="6">
        <v>3000</v>
      </c>
      <c r="L14" s="93">
        <v>208</v>
      </c>
      <c r="M14" s="93">
        <v>4.89</v>
      </c>
      <c r="N14" s="93">
        <v>82.9</v>
      </c>
      <c r="O14" s="93">
        <v>96</v>
      </c>
      <c r="P14" s="6">
        <v>11.5</v>
      </c>
    </row>
    <row r="15" ht="16.5" spans="1:17">
      <c r="A15" s="79" t="s">
        <v>2981</v>
      </c>
      <c r="B15" s="9">
        <v>440.8</v>
      </c>
      <c r="C15" s="10">
        <v>180.7</v>
      </c>
      <c r="D15" s="11">
        <v>4.2</v>
      </c>
      <c r="E15" s="12">
        <v>83.5</v>
      </c>
      <c r="F15" s="12">
        <v>96.2</v>
      </c>
      <c r="G15" s="11">
        <v>11.35</v>
      </c>
      <c r="H15" s="9">
        <v>25060030</v>
      </c>
      <c r="J15" s="39" t="s">
        <v>2982</v>
      </c>
      <c r="K15" s="9">
        <v>486.6</v>
      </c>
      <c r="L15" s="10">
        <v>260.8</v>
      </c>
      <c r="M15" s="11">
        <v>5.19</v>
      </c>
      <c r="N15" s="12">
        <v>86.9</v>
      </c>
      <c r="O15" s="12">
        <v>96.8</v>
      </c>
      <c r="P15" s="11">
        <v>11.32</v>
      </c>
      <c r="Q15" s="9">
        <v>25020328</v>
      </c>
    </row>
    <row r="16" ht="16.5" spans="1:17">
      <c r="A16" s="68" t="s">
        <v>2983</v>
      </c>
      <c r="B16" s="9">
        <v>766.4</v>
      </c>
      <c r="C16" s="10">
        <v>257.7</v>
      </c>
      <c r="D16" s="11">
        <v>5.08</v>
      </c>
      <c r="E16" s="12">
        <v>90.8</v>
      </c>
      <c r="F16" s="12">
        <v>98.6</v>
      </c>
      <c r="G16" s="11">
        <v>11.54</v>
      </c>
      <c r="H16" s="9">
        <v>25030048</v>
      </c>
      <c r="J16" s="39" t="s">
        <v>2984</v>
      </c>
      <c r="K16" s="9">
        <v>291.4</v>
      </c>
      <c r="L16" s="10">
        <v>276.5</v>
      </c>
      <c r="M16" s="11">
        <v>5.11</v>
      </c>
      <c r="N16" s="12">
        <v>90.3</v>
      </c>
      <c r="O16" s="12">
        <v>98.3</v>
      </c>
      <c r="P16" s="11">
        <v>11.62</v>
      </c>
      <c r="Q16" s="9">
        <v>25010508</v>
      </c>
    </row>
    <row r="17" ht="16.5" spans="1:17">
      <c r="A17" s="79" t="s">
        <v>2985</v>
      </c>
      <c r="B17" s="9">
        <v>815.2</v>
      </c>
      <c r="C17" s="10">
        <v>181.1</v>
      </c>
      <c r="D17" s="11">
        <v>4.43</v>
      </c>
      <c r="E17" s="12">
        <v>80.1</v>
      </c>
      <c r="F17" s="12">
        <v>95.4</v>
      </c>
      <c r="G17" s="11">
        <v>10.99</v>
      </c>
      <c r="H17" s="9">
        <v>25060041</v>
      </c>
      <c r="J17" s="39" t="s">
        <v>2986</v>
      </c>
      <c r="K17" s="9">
        <v>282.6</v>
      </c>
      <c r="L17" s="10">
        <v>275.4</v>
      </c>
      <c r="M17" s="11">
        <v>4.97</v>
      </c>
      <c r="N17" s="12">
        <v>89.1</v>
      </c>
      <c r="O17" s="12">
        <v>97.4</v>
      </c>
      <c r="P17" s="11">
        <v>11.72</v>
      </c>
      <c r="Q17" s="9">
        <v>24120528</v>
      </c>
    </row>
    <row r="18" ht="16.5" spans="1:17">
      <c r="A18" s="39" t="s">
        <v>2987</v>
      </c>
      <c r="B18" s="9">
        <v>529.4</v>
      </c>
      <c r="C18" s="10">
        <v>263.5</v>
      </c>
      <c r="D18" s="11">
        <v>5.22</v>
      </c>
      <c r="E18" s="12">
        <v>86.2</v>
      </c>
      <c r="F18" s="12">
        <v>96.8</v>
      </c>
      <c r="G18" s="11">
        <v>11.07</v>
      </c>
      <c r="H18" s="9">
        <v>25030280</v>
      </c>
    </row>
    <row r="19" ht="16.5" spans="1:17">
      <c r="A19" s="79" t="s">
        <v>2988</v>
      </c>
      <c r="B19" s="9">
        <v>887.8</v>
      </c>
      <c r="C19" s="10">
        <v>171.5</v>
      </c>
      <c r="D19" s="11">
        <v>4.11</v>
      </c>
      <c r="E19" s="12">
        <v>81.3</v>
      </c>
      <c r="F19" s="12">
        <v>95.5</v>
      </c>
      <c r="G19" s="11">
        <v>11.37</v>
      </c>
      <c r="H19" s="9">
        <v>25060054</v>
      </c>
    </row>
    <row r="20" ht="16.5" spans="1:17">
      <c r="A20" s="39" t="s">
        <v>2989</v>
      </c>
      <c r="B20" s="9">
        <v>530.4</v>
      </c>
      <c r="C20" s="10">
        <v>258.1</v>
      </c>
      <c r="D20" s="11">
        <v>5.22</v>
      </c>
      <c r="E20" s="12">
        <v>87.9</v>
      </c>
      <c r="F20" s="12">
        <v>97</v>
      </c>
      <c r="G20" s="11">
        <v>11.28</v>
      </c>
      <c r="H20" s="9">
        <v>25010213</v>
      </c>
    </row>
    <row r="21" ht="16.5" spans="1:17">
      <c r="A21" s="38" t="s">
        <v>927</v>
      </c>
      <c r="B21" s="34">
        <v>520.2</v>
      </c>
      <c r="C21" s="35">
        <v>190.6</v>
      </c>
      <c r="D21" s="36">
        <v>5.57</v>
      </c>
      <c r="E21" s="37">
        <v>68.5</v>
      </c>
      <c r="F21" s="37">
        <v>89.9</v>
      </c>
      <c r="G21" s="36">
        <v>11.01</v>
      </c>
      <c r="H21" s="94">
        <v>25020395</v>
      </c>
    </row>
  </sheetData>
  <conditionalFormatting sqref="A1:A2">
    <cfRule type="duplicateValues" dxfId="0" priority="2"/>
  </conditionalFormatting>
  <conditionalFormatting sqref="J1:J2">
    <cfRule type="duplicateValues" dxfId="0" priority="1"/>
  </conditionalFormatting>
  <dataValidations count="1">
    <dataValidation allowBlank="1" showInputMessage="1" showErrorMessage="1" sqref="K5:L5 B21 B4:B9 B11:B19 C3:C21 K6:K7 L3:L4 L6:L8 K10:L13 K15:L17"/>
  </dataValidations>
  <pageMargins left="0.75" right="0.75" top="1" bottom="1" header="0.5" footer="0.5"/>
  <pageSetup paperSize="9" orientation="portrait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P28" sqref="P28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1122</v>
      </c>
      <c r="B1" s="2">
        <f>SUM(B3:B30)</f>
        <v>10133.4</v>
      </c>
      <c r="C1" s="3" cm="1">
        <f t="array" ref="C1">SUMPRODUCT(C3:C30*B3:B30)/B1</f>
        <v>256.76237393175</v>
      </c>
      <c r="D1" s="4" cm="1">
        <f t="array" ref="D1">SUMPRODUCT(B3:B30*D3:D30)/B1</f>
        <v>4.87386642193144</v>
      </c>
      <c r="E1" s="3" cm="1">
        <f t="array" ref="E1">SUMPRODUCT(B3:B30*E3:E30)/B1</f>
        <v>89.0819172242288</v>
      </c>
      <c r="F1" s="3" cm="1">
        <f t="array" ref="F1">SUMPRODUCT(B3:B30*F3:F30)/B1</f>
        <v>97.3045058914086</v>
      </c>
    </row>
    <row r="2" ht="16.5" spans="1:7">
      <c r="A2" s="2">
        <v>240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</row>
    <row r="3" ht="16.5" spans="1:7">
      <c r="A3" s="87" t="s">
        <v>2990</v>
      </c>
      <c r="B3" s="88">
        <v>502.4</v>
      </c>
      <c r="C3" s="89">
        <v>278.3</v>
      </c>
      <c r="D3" s="90">
        <v>5</v>
      </c>
      <c r="E3" s="89">
        <v>92.1</v>
      </c>
      <c r="F3" s="89">
        <v>98.6</v>
      </c>
      <c r="G3" s="88">
        <v>25010484</v>
      </c>
    </row>
    <row r="4" ht="16.5" spans="1:7">
      <c r="A4" s="87" t="s">
        <v>2991</v>
      </c>
      <c r="B4" s="88">
        <v>276.8</v>
      </c>
      <c r="C4" s="89">
        <v>269.6</v>
      </c>
      <c r="D4" s="90">
        <v>5.16</v>
      </c>
      <c r="E4" s="89">
        <v>91.4</v>
      </c>
      <c r="F4" s="89">
        <v>98.3</v>
      </c>
      <c r="G4" s="88">
        <v>25010487</v>
      </c>
    </row>
    <row r="5" ht="16.5" spans="1:7">
      <c r="A5" s="87" t="s">
        <v>2992</v>
      </c>
      <c r="B5" s="88">
        <v>492.6</v>
      </c>
      <c r="C5" s="89">
        <v>277.6</v>
      </c>
      <c r="D5" s="90">
        <v>5.22</v>
      </c>
      <c r="E5" s="89">
        <v>90.9</v>
      </c>
      <c r="F5" s="89">
        <v>98.7</v>
      </c>
      <c r="G5" s="88">
        <v>25010429</v>
      </c>
    </row>
    <row r="6" ht="16.5" spans="1:7">
      <c r="A6" s="87" t="s">
        <v>2993</v>
      </c>
      <c r="B6" s="88">
        <v>504</v>
      </c>
      <c r="C6" s="89">
        <v>259.4</v>
      </c>
      <c r="D6" s="90">
        <v>5.16</v>
      </c>
      <c r="E6" s="89">
        <v>91</v>
      </c>
      <c r="F6" s="89">
        <v>98.7</v>
      </c>
      <c r="G6" s="92">
        <v>25020124</v>
      </c>
    </row>
    <row r="7" ht="16.5" spans="1:7">
      <c r="A7" s="87" t="s">
        <v>2994</v>
      </c>
      <c r="B7" s="88">
        <v>283.8</v>
      </c>
      <c r="C7" s="89">
        <v>265.3</v>
      </c>
      <c r="D7" s="90">
        <v>5.71</v>
      </c>
      <c r="E7" s="89">
        <v>90.5</v>
      </c>
      <c r="F7" s="89">
        <v>98.5</v>
      </c>
      <c r="G7" s="92">
        <v>24120158</v>
      </c>
    </row>
    <row r="8" ht="16.5" spans="1:7">
      <c r="A8" s="87" t="s">
        <v>2995</v>
      </c>
      <c r="B8" s="88">
        <v>264.2</v>
      </c>
      <c r="C8" s="89">
        <v>267.4</v>
      </c>
      <c r="D8" s="90">
        <v>5.11</v>
      </c>
      <c r="E8" s="89">
        <v>88.2</v>
      </c>
      <c r="F8" s="89">
        <v>97.4</v>
      </c>
      <c r="G8" s="88">
        <v>25010097</v>
      </c>
    </row>
    <row r="9" ht="16.5" spans="1:7">
      <c r="A9" s="91" t="s">
        <v>2996</v>
      </c>
      <c r="B9" s="88">
        <v>199.6</v>
      </c>
      <c r="C9" s="89">
        <v>200.3</v>
      </c>
      <c r="D9" s="90">
        <v>4.82</v>
      </c>
      <c r="E9" s="89">
        <v>78.2</v>
      </c>
      <c r="F9" s="89">
        <v>94.1</v>
      </c>
      <c r="G9" s="88">
        <v>25060008</v>
      </c>
    </row>
    <row r="10" ht="16.5" spans="1:7">
      <c r="A10" s="91" t="s">
        <v>2997</v>
      </c>
      <c r="B10" s="88">
        <v>930.2</v>
      </c>
      <c r="C10" s="89">
        <v>261.4</v>
      </c>
      <c r="D10" s="90">
        <v>4.86</v>
      </c>
      <c r="E10" s="89">
        <v>87.7</v>
      </c>
      <c r="F10" s="89">
        <v>96.8</v>
      </c>
      <c r="G10" s="88">
        <v>25060011</v>
      </c>
    </row>
    <row r="11" ht="16.5" spans="1:7">
      <c r="A11" s="87" t="s">
        <v>2998</v>
      </c>
      <c r="B11" s="88">
        <v>392.2</v>
      </c>
      <c r="C11" s="89">
        <v>264.4</v>
      </c>
      <c r="D11" s="90">
        <v>5.08</v>
      </c>
      <c r="E11" s="89">
        <v>91.6</v>
      </c>
      <c r="F11" s="89">
        <v>98.8</v>
      </c>
      <c r="G11" s="88">
        <v>25010317</v>
      </c>
    </row>
    <row r="12" ht="16.5" spans="1:7">
      <c r="A12" s="91" t="s">
        <v>2999</v>
      </c>
      <c r="B12" s="88">
        <v>204.2</v>
      </c>
      <c r="C12" s="89">
        <v>279.3</v>
      </c>
      <c r="D12" s="90">
        <v>4.97</v>
      </c>
      <c r="E12" s="89">
        <v>91.3</v>
      </c>
      <c r="F12" s="89">
        <v>98.4</v>
      </c>
      <c r="G12" s="88">
        <v>25060291</v>
      </c>
    </row>
    <row r="13" ht="16.5" spans="1:7">
      <c r="A13" s="87" t="s">
        <v>3000</v>
      </c>
      <c r="B13" s="88">
        <v>315.4</v>
      </c>
      <c r="C13" s="89">
        <v>266.7</v>
      </c>
      <c r="D13" s="90">
        <v>5.22</v>
      </c>
      <c r="E13" s="89">
        <v>89.6</v>
      </c>
      <c r="F13" s="89">
        <v>98</v>
      </c>
      <c r="G13" s="92">
        <v>25010210</v>
      </c>
    </row>
    <row r="14" ht="16.5" spans="1:7">
      <c r="A14" s="87" t="s">
        <v>3001</v>
      </c>
      <c r="B14" s="88">
        <v>215</v>
      </c>
      <c r="C14" s="89">
        <v>275.7</v>
      </c>
      <c r="D14" s="90">
        <v>5.44</v>
      </c>
      <c r="E14" s="89">
        <v>87.4</v>
      </c>
      <c r="F14" s="89">
        <v>96.7</v>
      </c>
      <c r="G14" s="92">
        <v>25010204</v>
      </c>
    </row>
    <row r="15" ht="16.5" spans="1:7">
      <c r="A15" s="87" t="s">
        <v>3002</v>
      </c>
      <c r="B15" s="88">
        <v>613.2</v>
      </c>
      <c r="C15" s="89">
        <v>200.6</v>
      </c>
      <c r="D15" s="90">
        <v>4.08</v>
      </c>
      <c r="E15" s="89">
        <v>87.8</v>
      </c>
      <c r="F15" s="89">
        <v>96.4</v>
      </c>
      <c r="G15" s="88">
        <v>25100319</v>
      </c>
    </row>
    <row r="16" ht="16.5" spans="1:7">
      <c r="A16" s="87" t="s">
        <v>3003</v>
      </c>
      <c r="B16" s="88">
        <v>520</v>
      </c>
      <c r="C16" s="89">
        <v>269.7</v>
      </c>
      <c r="D16" s="90">
        <v>5.13</v>
      </c>
      <c r="E16" s="89">
        <v>90.3</v>
      </c>
      <c r="F16" s="89">
        <v>98.2</v>
      </c>
      <c r="G16" s="88">
        <v>25010125</v>
      </c>
    </row>
    <row r="17" ht="16.5" spans="1:7">
      <c r="A17" s="87" t="s">
        <v>3004</v>
      </c>
      <c r="B17" s="88">
        <v>720</v>
      </c>
      <c r="C17" s="89">
        <v>213.1</v>
      </c>
      <c r="D17" s="90">
        <v>4.03</v>
      </c>
      <c r="E17" s="89">
        <v>85.7</v>
      </c>
      <c r="F17" s="89">
        <v>95</v>
      </c>
      <c r="G17" s="88">
        <v>25100326</v>
      </c>
    </row>
    <row r="18" ht="16.5" spans="1:7">
      <c r="A18" s="87" t="s">
        <v>3005</v>
      </c>
      <c r="B18" s="88">
        <v>516</v>
      </c>
      <c r="C18" s="89">
        <v>262.2</v>
      </c>
      <c r="D18" s="90">
        <v>5</v>
      </c>
      <c r="E18" s="89">
        <v>90.2</v>
      </c>
      <c r="F18" s="89">
        <v>98.3</v>
      </c>
      <c r="G18" s="88">
        <v>25010124</v>
      </c>
    </row>
    <row r="19" ht="16.5" spans="1:7">
      <c r="A19" s="87" t="s">
        <v>3006</v>
      </c>
      <c r="B19" s="88">
        <v>305.2</v>
      </c>
      <c r="C19" s="89">
        <v>277.6</v>
      </c>
      <c r="D19" s="90">
        <v>5.02</v>
      </c>
      <c r="E19" s="89">
        <v>90.4</v>
      </c>
      <c r="F19" s="89">
        <v>97.8</v>
      </c>
      <c r="G19" s="88">
        <v>25010264</v>
      </c>
    </row>
    <row r="20" ht="16.5" spans="1:7">
      <c r="A20" s="87" t="s">
        <v>3007</v>
      </c>
      <c r="B20" s="88">
        <v>626</v>
      </c>
      <c r="C20" s="89">
        <v>213.8</v>
      </c>
      <c r="D20" s="90">
        <v>3.97</v>
      </c>
      <c r="E20" s="89">
        <v>82.2</v>
      </c>
      <c r="F20" s="89">
        <v>92.4</v>
      </c>
      <c r="G20" s="88">
        <v>25100328</v>
      </c>
    </row>
    <row r="21" ht="16.5" spans="1:7">
      <c r="A21" s="87" t="s">
        <v>3008</v>
      </c>
      <c r="B21" s="88">
        <v>497.2</v>
      </c>
      <c r="C21" s="89">
        <v>286.5</v>
      </c>
      <c r="D21" s="90">
        <v>5.19</v>
      </c>
      <c r="E21" s="89">
        <v>92.6</v>
      </c>
      <c r="F21" s="89">
        <v>99</v>
      </c>
      <c r="G21" s="88">
        <v>25010405</v>
      </c>
    </row>
    <row r="22" ht="16.5" spans="1:7">
      <c r="A22" s="91" t="s">
        <v>3009</v>
      </c>
      <c r="B22" s="88">
        <v>488.8</v>
      </c>
      <c r="C22" s="89">
        <v>265.9</v>
      </c>
      <c r="D22" s="90">
        <v>4.82</v>
      </c>
      <c r="E22" s="89">
        <v>87.8</v>
      </c>
      <c r="F22" s="89">
        <v>96.3</v>
      </c>
      <c r="G22" s="88">
        <v>25090015</v>
      </c>
    </row>
    <row r="23" ht="16.5" spans="1:7">
      <c r="A23" s="87" t="s">
        <v>3010</v>
      </c>
      <c r="B23" s="88">
        <v>277</v>
      </c>
      <c r="C23" s="89">
        <v>272.2</v>
      </c>
      <c r="D23" s="90">
        <v>5.08</v>
      </c>
      <c r="E23" s="89">
        <v>90.1</v>
      </c>
      <c r="F23" s="89">
        <v>97.3</v>
      </c>
      <c r="G23" s="88">
        <v>25010265</v>
      </c>
    </row>
    <row r="24" ht="16.5" spans="1:7">
      <c r="A24" s="87" t="s">
        <v>3011</v>
      </c>
      <c r="B24" s="88">
        <v>491.2</v>
      </c>
      <c r="C24" s="89">
        <v>276.4</v>
      </c>
      <c r="D24" s="90">
        <v>5</v>
      </c>
      <c r="E24" s="89">
        <v>92.2</v>
      </c>
      <c r="F24" s="89">
        <v>98.8</v>
      </c>
      <c r="G24" s="88">
        <v>25010291</v>
      </c>
    </row>
    <row r="25" ht="16.5" spans="1:7">
      <c r="A25" s="87" t="s">
        <v>3012</v>
      </c>
      <c r="B25" s="88">
        <v>498.4</v>
      </c>
      <c r="C25" s="89">
        <v>266.1</v>
      </c>
      <c r="D25" s="90">
        <v>5.08</v>
      </c>
      <c r="E25" s="89">
        <v>91.1</v>
      </c>
      <c r="F25" s="89">
        <v>98.5</v>
      </c>
      <c r="G25" s="88">
        <v>25010316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14 B3:C13 B15:C25"/>
  </dataValidations>
  <pageMargins left="0.75" right="0.75" top="1" bottom="1" header="0.5" footer="0.5"/>
  <pageSetup paperSize="9" orientation="portrait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J19" sqref="J19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1123</v>
      </c>
      <c r="B1" s="2">
        <f>SUM(B3:B30)</f>
        <v>10101.6</v>
      </c>
      <c r="C1" s="3" cm="1">
        <f t="array" ref="C1">SUMPRODUCT(C3:C30*B3:B30)/B1</f>
        <v>257.13958184842</v>
      </c>
      <c r="D1" s="4" cm="1">
        <f t="array" ref="D1">SUMPRODUCT(B3:B30*D3:D30)/B1</f>
        <v>4.8744056387107</v>
      </c>
      <c r="E1" s="3" cm="1">
        <f t="array" ref="E1">SUMPRODUCT(B3:B30*E3:E30)/B1</f>
        <v>89.461823869486</v>
      </c>
      <c r="F1" s="3" cm="1">
        <f t="array" ref="F1">SUMPRODUCT(B3:B30*F3:F30)/B1</f>
        <v>97.431513819593</v>
      </c>
    </row>
    <row r="2" ht="16.5" spans="1:7">
      <c r="A2" s="2">
        <v>240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70"/>
    </row>
    <row r="3" ht="16.5" spans="1:7">
      <c r="A3" s="87" t="s">
        <v>3013</v>
      </c>
      <c r="B3" s="88">
        <v>196</v>
      </c>
      <c r="C3" s="89">
        <v>272.7</v>
      </c>
      <c r="D3" s="90">
        <v>5.13</v>
      </c>
      <c r="E3" s="89">
        <v>89</v>
      </c>
      <c r="F3" s="89">
        <v>97.3</v>
      </c>
      <c r="G3" s="88">
        <v>24060203</v>
      </c>
    </row>
    <row r="4" ht="16.5" spans="1:7">
      <c r="A4" s="91" t="s">
        <v>3014</v>
      </c>
      <c r="B4" s="88">
        <v>505.4</v>
      </c>
      <c r="C4" s="89">
        <v>267.6</v>
      </c>
      <c r="D4" s="90">
        <v>4.82</v>
      </c>
      <c r="E4" s="89">
        <v>90.3</v>
      </c>
      <c r="F4" s="89">
        <v>96.4</v>
      </c>
      <c r="G4" s="88">
        <v>24090022</v>
      </c>
    </row>
    <row r="5" ht="16.5" spans="1:7">
      <c r="A5" s="91" t="s">
        <v>3015</v>
      </c>
      <c r="B5" s="88">
        <v>539.6</v>
      </c>
      <c r="C5" s="89">
        <v>236</v>
      </c>
      <c r="D5" s="90">
        <v>5.35</v>
      </c>
      <c r="E5" s="89">
        <v>78.4</v>
      </c>
      <c r="F5" s="89">
        <v>90.8</v>
      </c>
      <c r="G5" s="88">
        <v>24090029</v>
      </c>
    </row>
    <row r="6" ht="16.5" spans="1:7">
      <c r="A6" s="87" t="s">
        <v>3016</v>
      </c>
      <c r="B6" s="88">
        <v>487.8</v>
      </c>
      <c r="C6" s="89">
        <v>268.8</v>
      </c>
      <c r="D6" s="90">
        <v>4.8</v>
      </c>
      <c r="E6" s="89">
        <v>90.7</v>
      </c>
      <c r="F6" s="89">
        <v>98.2</v>
      </c>
      <c r="G6" s="88">
        <v>25010519</v>
      </c>
    </row>
    <row r="7" ht="16.5" spans="1:7">
      <c r="A7" s="87" t="s">
        <v>3017</v>
      </c>
      <c r="B7" s="88">
        <v>492.2</v>
      </c>
      <c r="C7" s="89">
        <v>267.7</v>
      </c>
      <c r="D7" s="90">
        <v>5.11</v>
      </c>
      <c r="E7" s="89">
        <v>90.4</v>
      </c>
      <c r="F7" s="89">
        <v>98.3</v>
      </c>
      <c r="G7" s="88">
        <v>25010509</v>
      </c>
    </row>
    <row r="8" ht="16.5" spans="1:7">
      <c r="A8" s="87" t="s">
        <v>3018</v>
      </c>
      <c r="B8" s="88">
        <v>841</v>
      </c>
      <c r="C8" s="89">
        <v>244.3</v>
      </c>
      <c r="D8" s="90">
        <v>4.77</v>
      </c>
      <c r="E8" s="89">
        <v>91.4</v>
      </c>
      <c r="F8" s="89">
        <v>98.5</v>
      </c>
      <c r="G8" s="88">
        <v>25100110</v>
      </c>
    </row>
    <row r="9" ht="16.5" spans="1:7">
      <c r="A9" s="87" t="s">
        <v>3019</v>
      </c>
      <c r="B9" s="88">
        <v>506</v>
      </c>
      <c r="C9" s="89">
        <v>260.8</v>
      </c>
      <c r="D9" s="90">
        <v>5.16</v>
      </c>
      <c r="E9" s="89">
        <v>88.7</v>
      </c>
      <c r="F9" s="89">
        <v>97.6</v>
      </c>
      <c r="G9" s="88">
        <v>24120462</v>
      </c>
    </row>
    <row r="10" ht="16.5" spans="1:7">
      <c r="A10" s="87" t="s">
        <v>3020</v>
      </c>
      <c r="B10" s="88">
        <v>515</v>
      </c>
      <c r="C10" s="89">
        <v>265</v>
      </c>
      <c r="D10" s="90">
        <v>4.8</v>
      </c>
      <c r="E10" s="89">
        <v>92.2</v>
      </c>
      <c r="F10" s="89">
        <v>99.1</v>
      </c>
      <c r="G10" s="88">
        <v>25020034</v>
      </c>
    </row>
    <row r="11" ht="16.5" spans="1:7">
      <c r="A11" s="87" t="s">
        <v>3021</v>
      </c>
      <c r="B11" s="88">
        <v>509.4</v>
      </c>
      <c r="C11" s="89">
        <v>274.8</v>
      </c>
      <c r="D11" s="90">
        <v>5.19</v>
      </c>
      <c r="E11" s="89">
        <v>91</v>
      </c>
      <c r="F11" s="89">
        <v>98</v>
      </c>
      <c r="G11" s="88">
        <v>25010041</v>
      </c>
    </row>
    <row r="12" ht="16.5" spans="1:7">
      <c r="A12" s="87" t="s">
        <v>3022</v>
      </c>
      <c r="B12" s="88">
        <v>520.2</v>
      </c>
      <c r="C12" s="89">
        <v>263.4</v>
      </c>
      <c r="D12" s="90">
        <v>4.82</v>
      </c>
      <c r="E12" s="89">
        <v>92.6</v>
      </c>
      <c r="F12" s="89">
        <v>99.2</v>
      </c>
      <c r="G12" s="88">
        <v>25020036</v>
      </c>
    </row>
    <row r="13" ht="16.5" spans="1:7">
      <c r="A13" s="87" t="s">
        <v>3023</v>
      </c>
      <c r="B13" s="88">
        <v>488.2</v>
      </c>
      <c r="C13" s="89">
        <v>264.3</v>
      </c>
      <c r="D13" s="90">
        <v>5.19</v>
      </c>
      <c r="E13" s="89">
        <v>90.9</v>
      </c>
      <c r="F13" s="89">
        <v>98.8</v>
      </c>
      <c r="G13" s="88">
        <v>25020128</v>
      </c>
    </row>
    <row r="14" ht="16.5" spans="1:7">
      <c r="A14" s="91" t="s">
        <v>3024</v>
      </c>
      <c r="B14" s="88">
        <v>188.8</v>
      </c>
      <c r="C14" s="89">
        <v>257.3</v>
      </c>
      <c r="D14" s="90">
        <v>4.8</v>
      </c>
      <c r="E14" s="89">
        <v>89.2</v>
      </c>
      <c r="F14" s="89">
        <v>97.2</v>
      </c>
      <c r="G14" s="88">
        <v>25060301</v>
      </c>
    </row>
    <row r="15" ht="16.5" spans="1:7">
      <c r="A15" s="87" t="s">
        <v>3025</v>
      </c>
      <c r="B15" s="88">
        <v>508.2</v>
      </c>
      <c r="C15" s="89">
        <v>272.2</v>
      </c>
      <c r="D15" s="90">
        <v>5.05</v>
      </c>
      <c r="E15" s="89">
        <v>89.7</v>
      </c>
      <c r="F15" s="89">
        <v>98</v>
      </c>
      <c r="G15" s="88">
        <v>25010314</v>
      </c>
    </row>
    <row r="16" ht="16.5" spans="1:7">
      <c r="A16" s="87" t="s">
        <v>3026</v>
      </c>
      <c r="B16" s="88">
        <v>740.8</v>
      </c>
      <c r="C16" s="89">
        <v>209.1</v>
      </c>
      <c r="D16" s="90">
        <v>3.94</v>
      </c>
      <c r="E16" s="89">
        <v>83.9</v>
      </c>
      <c r="F16" s="89">
        <v>93.9</v>
      </c>
      <c r="G16" s="88">
        <v>25100327</v>
      </c>
    </row>
    <row r="17" ht="16.5" spans="1:7">
      <c r="A17" s="87" t="s">
        <v>3027</v>
      </c>
      <c r="B17" s="88">
        <v>514.6</v>
      </c>
      <c r="C17" s="89">
        <v>260.4</v>
      </c>
      <c r="D17" s="90">
        <v>5.02</v>
      </c>
      <c r="E17" s="89">
        <v>90.7</v>
      </c>
      <c r="F17" s="89">
        <v>98.3</v>
      </c>
      <c r="G17" s="88">
        <v>25010461</v>
      </c>
    </row>
    <row r="18" ht="16.5" spans="1:7">
      <c r="A18" s="87" t="s">
        <v>3028</v>
      </c>
      <c r="B18" s="88">
        <v>505.2</v>
      </c>
      <c r="C18" s="89">
        <v>261.6</v>
      </c>
      <c r="D18" s="90">
        <v>5.19</v>
      </c>
      <c r="E18" s="89">
        <v>89.9</v>
      </c>
      <c r="F18" s="89">
        <v>98.1</v>
      </c>
      <c r="G18" s="88">
        <v>24120627</v>
      </c>
    </row>
    <row r="19" ht="16.5" spans="1:7">
      <c r="A19" s="87" t="s">
        <v>3029</v>
      </c>
      <c r="B19" s="88">
        <v>285.2</v>
      </c>
      <c r="C19" s="89">
        <v>200.2</v>
      </c>
      <c r="D19" s="90">
        <v>3.94</v>
      </c>
      <c r="E19" s="89">
        <v>88.9</v>
      </c>
      <c r="F19" s="89">
        <v>97.5</v>
      </c>
      <c r="G19" s="88">
        <v>25100330</v>
      </c>
    </row>
    <row r="20" ht="16.5" spans="1:7">
      <c r="A20" s="87" t="s">
        <v>3030</v>
      </c>
      <c r="B20" s="88">
        <v>517.2</v>
      </c>
      <c r="C20" s="89">
        <v>275.5</v>
      </c>
      <c r="D20" s="90">
        <v>5.16</v>
      </c>
      <c r="E20" s="89">
        <v>90.2</v>
      </c>
      <c r="F20" s="89">
        <v>97.7</v>
      </c>
      <c r="G20" s="88">
        <v>25020239</v>
      </c>
    </row>
    <row r="21" ht="16.5" spans="1:7">
      <c r="A21" s="91" t="s">
        <v>3031</v>
      </c>
      <c r="B21" s="88">
        <v>479.8</v>
      </c>
      <c r="C21" s="89">
        <v>256.6</v>
      </c>
      <c r="D21" s="90">
        <v>4.26</v>
      </c>
      <c r="E21" s="89">
        <v>89.5</v>
      </c>
      <c r="F21" s="89">
        <v>97.5</v>
      </c>
      <c r="G21" s="88">
        <v>25040452</v>
      </c>
    </row>
    <row r="22" ht="16.5" spans="1:7">
      <c r="A22" s="87" t="s">
        <v>3032</v>
      </c>
      <c r="B22" s="88">
        <v>520.8</v>
      </c>
      <c r="C22" s="89">
        <v>279.5</v>
      </c>
      <c r="D22" s="90">
        <v>5.02</v>
      </c>
      <c r="E22" s="89">
        <v>92.2</v>
      </c>
      <c r="F22" s="89">
        <v>98.9</v>
      </c>
      <c r="G22" s="88">
        <v>25020322</v>
      </c>
    </row>
    <row r="23" ht="16.5" spans="1:7">
      <c r="A23" s="87" t="s">
        <v>918</v>
      </c>
      <c r="B23" s="88">
        <v>240.2</v>
      </c>
      <c r="C23" s="89">
        <v>259.9</v>
      </c>
      <c r="D23" s="90">
        <v>5.11</v>
      </c>
      <c r="E23" s="89">
        <v>90.8</v>
      </c>
      <c r="F23" s="89">
        <v>98.4</v>
      </c>
      <c r="G23" s="88">
        <v>25010462</v>
      </c>
    </row>
    <row r="28" spans="1:7">
      <c r="G28" s="70"/>
    </row>
    <row r="29" spans="1:7">
      <c r="G29" s="70"/>
    </row>
  </sheetData>
  <conditionalFormatting sqref="A1:A2">
    <cfRule type="duplicateValues" dxfId="0" priority="1"/>
  </conditionalFormatting>
  <dataValidations count="1">
    <dataValidation allowBlank="1" showInputMessage="1" showErrorMessage="1" sqref="C11 B3:C10 B12:C23"/>
  </dataValidations>
  <pageMargins left="0.75" right="0.75" top="1" bottom="1" header="0.5" footer="0.5"/>
  <pageSetup paperSize="9" orientation="portrait"/>
  <headerFooter/>
  <legacy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L18" sqref="L18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1124</v>
      </c>
      <c r="B1" s="2">
        <f>SUM(B3:B30)</f>
        <v>10102.2</v>
      </c>
      <c r="C1" s="3" cm="1">
        <f t="array" ref="C1">SUMPRODUCT(C3:C30*B3:B30)/B1</f>
        <v>178.30406842074</v>
      </c>
      <c r="D1" s="4" cm="1">
        <f t="array" ref="D1">SUMPRODUCT(B3:B30*D3:D30)/B1</f>
        <v>3.9730209261349</v>
      </c>
      <c r="E1" s="3" cm="1">
        <f t="array" ref="E1">SUMPRODUCT(B3:B30*E3:E30)/B1</f>
        <v>79.2552473718596</v>
      </c>
      <c r="F1" s="3" cm="1">
        <f t="array" ref="F1">SUMPRODUCT(B3:B30*F3:F30)/B1</f>
        <v>92.9350418720675</v>
      </c>
      <c r="G1" s="3" cm="1">
        <f t="array" ref="G1">SUMPRODUCT(B3:B30*G3:G30)/B1</f>
        <v>11.8169335392291</v>
      </c>
    </row>
    <row r="2" ht="16.5" spans="1:8">
      <c r="A2" s="5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23" t="s">
        <v>3033</v>
      </c>
      <c r="B3" s="14">
        <v>475.4</v>
      </c>
      <c r="C3" s="15">
        <v>199</v>
      </c>
      <c r="D3" s="16">
        <v>3.94</v>
      </c>
      <c r="E3" s="17">
        <v>87.8</v>
      </c>
      <c r="F3" s="17">
        <v>96.8</v>
      </c>
      <c r="G3" s="16">
        <v>10.56</v>
      </c>
      <c r="H3" s="14">
        <v>25100316</v>
      </c>
    </row>
    <row r="4" ht="16.5" spans="1:8">
      <c r="A4" s="23" t="s">
        <v>3034</v>
      </c>
      <c r="B4" s="14">
        <v>500.6</v>
      </c>
      <c r="C4" s="15">
        <v>200.9</v>
      </c>
      <c r="D4" s="16">
        <v>3.97</v>
      </c>
      <c r="E4" s="17">
        <v>87.5</v>
      </c>
      <c r="F4" s="17">
        <v>96.8</v>
      </c>
      <c r="G4" s="16">
        <v>10.64</v>
      </c>
      <c r="H4" s="14">
        <v>25100317</v>
      </c>
    </row>
    <row r="5" ht="16.5" spans="1:8">
      <c r="A5" s="23" t="s">
        <v>3035</v>
      </c>
      <c r="B5" s="14">
        <v>488.8</v>
      </c>
      <c r="C5" s="15">
        <v>194.6</v>
      </c>
      <c r="D5" s="16">
        <v>4.08</v>
      </c>
      <c r="E5" s="17">
        <v>87.6</v>
      </c>
      <c r="F5" s="17">
        <v>96.1</v>
      </c>
      <c r="G5" s="16">
        <v>11.68</v>
      </c>
      <c r="H5" s="14">
        <v>25100323</v>
      </c>
    </row>
    <row r="6" ht="16.5" spans="1:8">
      <c r="A6" s="23" t="s">
        <v>3036</v>
      </c>
      <c r="B6" s="14">
        <v>495.4</v>
      </c>
      <c r="C6" s="15">
        <v>200.3</v>
      </c>
      <c r="D6" s="16">
        <v>3.97</v>
      </c>
      <c r="E6" s="17">
        <v>86.9</v>
      </c>
      <c r="F6" s="17">
        <v>96</v>
      </c>
      <c r="G6" s="16">
        <v>10.87</v>
      </c>
      <c r="H6" s="14">
        <v>25100331</v>
      </c>
    </row>
    <row r="7" ht="16.5" spans="1:8">
      <c r="A7" s="23" t="s">
        <v>3037</v>
      </c>
      <c r="B7" s="14">
        <v>488.2</v>
      </c>
      <c r="C7" s="15">
        <v>201.9</v>
      </c>
      <c r="D7" s="16">
        <v>3.89</v>
      </c>
      <c r="E7" s="17">
        <v>88.2</v>
      </c>
      <c r="F7" s="17">
        <v>96.8</v>
      </c>
      <c r="G7" s="16">
        <v>11.77</v>
      </c>
      <c r="H7" s="14">
        <v>25100333</v>
      </c>
    </row>
    <row r="8" ht="16.5" spans="1:8">
      <c r="A8" s="23" t="s">
        <v>3038</v>
      </c>
      <c r="B8" s="14">
        <v>735.2</v>
      </c>
      <c r="C8" s="15">
        <v>156.9</v>
      </c>
      <c r="D8" s="16">
        <v>3.65</v>
      </c>
      <c r="E8" s="17">
        <v>66.9</v>
      </c>
      <c r="F8" s="17">
        <v>85.4</v>
      </c>
      <c r="G8" s="16">
        <v>10.39</v>
      </c>
      <c r="H8" s="14">
        <v>25100151</v>
      </c>
    </row>
    <row r="9" ht="16.5" spans="1:8">
      <c r="A9" s="23" t="s">
        <v>3039</v>
      </c>
      <c r="B9" s="14">
        <v>550.8</v>
      </c>
      <c r="C9" s="15">
        <v>232.4</v>
      </c>
      <c r="D9" s="16">
        <v>4.57</v>
      </c>
      <c r="E9" s="17">
        <v>83.3</v>
      </c>
      <c r="F9" s="17">
        <v>94.3</v>
      </c>
      <c r="G9" s="16">
        <v>10.79</v>
      </c>
      <c r="H9" s="14">
        <v>25100188</v>
      </c>
    </row>
    <row r="10" ht="16.5" spans="1:8">
      <c r="A10" s="23" t="s">
        <v>3040</v>
      </c>
      <c r="B10" s="14">
        <v>531.2</v>
      </c>
      <c r="C10" s="15">
        <v>133.1</v>
      </c>
      <c r="D10" s="16">
        <v>3.24</v>
      </c>
      <c r="E10" s="17">
        <v>67</v>
      </c>
      <c r="F10" s="17">
        <v>85.6</v>
      </c>
      <c r="G10" s="16">
        <v>11.66</v>
      </c>
      <c r="H10" s="85">
        <v>25100155</v>
      </c>
    </row>
    <row r="11" ht="16.5" spans="1:8">
      <c r="A11" s="18" t="s">
        <v>3041</v>
      </c>
      <c r="B11" s="14">
        <v>385.2</v>
      </c>
      <c r="C11" s="15">
        <v>198.8</v>
      </c>
      <c r="D11" s="16">
        <v>5.52</v>
      </c>
      <c r="E11" s="17">
        <v>77.4</v>
      </c>
      <c r="F11" s="17">
        <v>90.9</v>
      </c>
      <c r="G11" s="16">
        <v>13.21</v>
      </c>
      <c r="H11" s="14">
        <v>24090080</v>
      </c>
    </row>
    <row r="12" ht="16.5" spans="1:8">
      <c r="A12" s="23" t="s">
        <v>3042</v>
      </c>
      <c r="B12" s="14">
        <v>520.4</v>
      </c>
      <c r="C12" s="15">
        <v>112.5</v>
      </c>
      <c r="D12" s="16">
        <v>3.03</v>
      </c>
      <c r="E12" s="17">
        <v>77.9</v>
      </c>
      <c r="F12" s="17">
        <v>95.2</v>
      </c>
      <c r="G12" s="16">
        <v>13.63</v>
      </c>
      <c r="H12" s="14">
        <v>25040232</v>
      </c>
    </row>
    <row r="13" ht="16.5" spans="1:8">
      <c r="A13" s="23" t="s">
        <v>3043</v>
      </c>
      <c r="B13" s="14">
        <v>749.8</v>
      </c>
      <c r="C13" s="15">
        <v>230.8</v>
      </c>
      <c r="D13" s="16">
        <v>4.57</v>
      </c>
      <c r="E13" s="17">
        <v>82.5</v>
      </c>
      <c r="F13" s="17">
        <v>93.9</v>
      </c>
      <c r="G13" s="16">
        <v>10.92</v>
      </c>
      <c r="H13" s="14">
        <v>25100189</v>
      </c>
    </row>
    <row r="14" ht="16.5" spans="1:8">
      <c r="A14" s="23" t="s">
        <v>3044</v>
      </c>
      <c r="B14" s="14">
        <v>513.6</v>
      </c>
      <c r="C14" s="15">
        <v>112.9</v>
      </c>
      <c r="D14" s="16">
        <v>3.06</v>
      </c>
      <c r="E14" s="17">
        <v>75.4</v>
      </c>
      <c r="F14" s="17">
        <v>93.6</v>
      </c>
      <c r="G14" s="16">
        <v>12.23</v>
      </c>
      <c r="H14" s="14">
        <v>25040030</v>
      </c>
    </row>
    <row r="15" ht="16.5" spans="1:8">
      <c r="A15" s="23" t="s">
        <v>3045</v>
      </c>
      <c r="B15" s="14">
        <v>286.2</v>
      </c>
      <c r="C15" s="15">
        <v>233.2</v>
      </c>
      <c r="D15" s="16">
        <v>4.32</v>
      </c>
      <c r="E15" s="17">
        <v>89.8</v>
      </c>
      <c r="F15" s="17">
        <v>98.9</v>
      </c>
      <c r="G15" s="16">
        <v>11.8</v>
      </c>
      <c r="H15" s="24">
        <v>25050202</v>
      </c>
    </row>
    <row r="16" ht="16.5" spans="1:8">
      <c r="A16" s="18" t="s">
        <v>3046</v>
      </c>
      <c r="B16" s="14">
        <v>494.2</v>
      </c>
      <c r="C16" s="15">
        <v>137.7</v>
      </c>
      <c r="D16" s="16">
        <v>3.67</v>
      </c>
      <c r="E16" s="17">
        <v>83.4</v>
      </c>
      <c r="F16" s="17">
        <v>94.1</v>
      </c>
      <c r="G16" s="16">
        <v>14.73</v>
      </c>
      <c r="H16" s="14">
        <v>24090108</v>
      </c>
    </row>
    <row r="17" ht="16.5" spans="1:8">
      <c r="A17" s="23" t="s">
        <v>3047</v>
      </c>
      <c r="B17" s="14">
        <v>431.6</v>
      </c>
      <c r="C17" s="15">
        <v>234.3</v>
      </c>
      <c r="D17" s="16">
        <v>4.66</v>
      </c>
      <c r="E17" s="17">
        <v>90.1</v>
      </c>
      <c r="F17" s="17">
        <v>98.2</v>
      </c>
      <c r="G17" s="16">
        <v>11.38</v>
      </c>
      <c r="H17" s="14">
        <v>25100095</v>
      </c>
    </row>
    <row r="18" ht="16.5" spans="1:8">
      <c r="A18" s="86" t="s">
        <v>3048</v>
      </c>
      <c r="B18" s="14">
        <v>386.6</v>
      </c>
      <c r="C18" s="15">
        <v>125.1</v>
      </c>
      <c r="D18" s="16">
        <v>3.24</v>
      </c>
      <c r="E18" s="17">
        <v>77.7</v>
      </c>
      <c r="F18" s="17">
        <v>94.7</v>
      </c>
      <c r="G18" s="16">
        <v>11.94</v>
      </c>
      <c r="H18" s="14">
        <v>25030402</v>
      </c>
    </row>
    <row r="19" ht="16.5" spans="1:8">
      <c r="A19" s="23" t="s">
        <v>3049</v>
      </c>
      <c r="B19" s="14">
        <v>491.4</v>
      </c>
      <c r="C19" s="15">
        <v>231.1</v>
      </c>
      <c r="D19" s="16">
        <v>4.32</v>
      </c>
      <c r="E19" s="17">
        <v>86.5</v>
      </c>
      <c r="F19" s="17">
        <v>96.1</v>
      </c>
      <c r="G19" s="16">
        <v>11.01</v>
      </c>
      <c r="H19" s="14">
        <v>25100144</v>
      </c>
    </row>
    <row r="20" ht="16.5" spans="1:8">
      <c r="A20" s="23" t="s">
        <v>1440</v>
      </c>
      <c r="B20" s="14">
        <v>524.4</v>
      </c>
      <c r="C20" s="15">
        <v>112.4</v>
      </c>
      <c r="D20" s="16">
        <v>3.06</v>
      </c>
      <c r="E20" s="17">
        <v>66</v>
      </c>
      <c r="F20" s="17">
        <v>86.8</v>
      </c>
      <c r="G20" s="16">
        <v>13.49</v>
      </c>
      <c r="H20" s="14">
        <v>24120614</v>
      </c>
    </row>
    <row r="21" ht="16.5" spans="1:8">
      <c r="A21" s="18" t="s">
        <v>3050</v>
      </c>
      <c r="B21" s="14">
        <v>529.8</v>
      </c>
      <c r="C21" s="15">
        <v>210.4</v>
      </c>
      <c r="D21" s="16">
        <v>5.52</v>
      </c>
      <c r="E21" s="17">
        <v>77.7</v>
      </c>
      <c r="F21" s="17">
        <v>90.7</v>
      </c>
      <c r="G21" s="16">
        <v>12.19</v>
      </c>
      <c r="H21" s="14">
        <v>24090053</v>
      </c>
    </row>
    <row r="22" ht="16.5" spans="1:8">
      <c r="A22" s="23" t="s">
        <v>3051</v>
      </c>
      <c r="B22" s="14">
        <v>523.4</v>
      </c>
      <c r="C22" s="15">
        <v>123.6</v>
      </c>
      <c r="D22" s="16">
        <v>3.49</v>
      </c>
      <c r="E22" s="17">
        <v>58.2</v>
      </c>
      <c r="F22" s="17">
        <v>85.5</v>
      </c>
      <c r="G22" s="16">
        <v>12.68</v>
      </c>
      <c r="H22" s="85">
        <v>25020142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22"/>
  </dataValidations>
  <pageMargins left="0.75" right="0.75" top="1" bottom="1" header="0.5" footer="0.5"/>
  <pageSetup paperSize="9" orientation="portrait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M25" sqref="M25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1125</v>
      </c>
      <c r="B1" s="2">
        <f>SUM(B3:B29)</f>
        <v>9621.24</v>
      </c>
      <c r="C1" s="3" cm="1">
        <f t="array" ref="C1">SUMPRODUCT(C3:C29*B3:B29)/B1</f>
        <v>178.974327217698</v>
      </c>
      <c r="D1" s="4" cm="1">
        <f t="array" ref="D1">SUMPRODUCT(B3:B29*D3:D29)/B1</f>
        <v>3.92734820043986</v>
      </c>
      <c r="E1" s="3" cm="1">
        <f t="array" ref="E1">SUMPRODUCT(B3:B29*E3:E29)/B1</f>
        <v>78.8507666371487</v>
      </c>
      <c r="F1" s="3" cm="1">
        <f t="array" ref="F1">SUMPRODUCT(B3:B29*F3:F29)/B1</f>
        <v>92.2631955964096</v>
      </c>
      <c r="G1" s="3" cm="1">
        <f t="array" ref="G1">SUMPRODUCT(B3:B29*G3:G29)/B1</f>
        <v>11.8199407976519</v>
      </c>
    </row>
    <row r="2" ht="16.5" spans="1:8">
      <c r="A2" s="5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81">
        <v>20251109</v>
      </c>
      <c r="B3" s="82">
        <v>90.32</v>
      </c>
      <c r="C3" s="81">
        <v>254</v>
      </c>
      <c r="D3" s="81">
        <v>5.02</v>
      </c>
      <c r="E3" s="82">
        <v>86.2</v>
      </c>
      <c r="F3" s="82">
        <v>96</v>
      </c>
      <c r="G3" s="83">
        <v>12.23</v>
      </c>
    </row>
    <row r="4" ht="16.5" spans="1:8">
      <c r="A4" s="81">
        <v>20251103</v>
      </c>
      <c r="B4" s="82">
        <v>125</v>
      </c>
      <c r="C4" s="81">
        <v>255.3</v>
      </c>
      <c r="D4" s="81">
        <v>4.89</v>
      </c>
      <c r="E4" s="82">
        <v>81.9</v>
      </c>
      <c r="F4" s="82">
        <v>93.8</v>
      </c>
      <c r="G4" s="83">
        <v>11.4</v>
      </c>
    </row>
    <row r="5" ht="16.5" spans="1:8">
      <c r="A5" s="81">
        <v>20251119</v>
      </c>
      <c r="B5" s="82">
        <v>158.4</v>
      </c>
      <c r="C5" s="81">
        <v>256.4</v>
      </c>
      <c r="D5" s="81">
        <v>4.77</v>
      </c>
      <c r="E5" s="82">
        <v>89.1</v>
      </c>
      <c r="F5" s="82">
        <v>97.3</v>
      </c>
      <c r="G5" s="83">
        <v>12.04</v>
      </c>
    </row>
    <row r="6" ht="16.5" spans="1:8">
      <c r="A6" s="81">
        <v>2511001</v>
      </c>
      <c r="B6" s="82">
        <v>145.18</v>
      </c>
      <c r="C6" s="81">
        <v>178</v>
      </c>
      <c r="D6" s="81">
        <v>3.9</v>
      </c>
      <c r="E6" s="82">
        <v>80.2</v>
      </c>
      <c r="F6" s="82">
        <v>93.3</v>
      </c>
      <c r="G6" s="83">
        <v>12.12</v>
      </c>
    </row>
    <row r="7" ht="16.5" spans="1:8">
      <c r="A7" s="81">
        <v>2511002</v>
      </c>
      <c r="B7" s="82">
        <v>140.1</v>
      </c>
      <c r="C7" s="1">
        <v>178.4</v>
      </c>
      <c r="D7" s="1">
        <v>3.85</v>
      </c>
      <c r="E7" s="2">
        <v>81.9</v>
      </c>
      <c r="F7" s="2">
        <v>94.2</v>
      </c>
      <c r="G7" s="51">
        <v>12.24</v>
      </c>
    </row>
    <row r="8" ht="16.5" spans="1:8">
      <c r="A8" s="81">
        <v>20251117</v>
      </c>
      <c r="B8" s="82">
        <v>320.4</v>
      </c>
      <c r="C8" s="81">
        <v>161.7</v>
      </c>
      <c r="D8" s="81">
        <v>3.89</v>
      </c>
      <c r="E8" s="82">
        <v>77.9</v>
      </c>
      <c r="F8" s="82">
        <v>91.8</v>
      </c>
      <c r="G8" s="83">
        <v>11.5</v>
      </c>
    </row>
    <row r="9" ht="16.5" spans="1:8">
      <c r="A9" s="81">
        <v>20251111</v>
      </c>
      <c r="B9" s="82">
        <v>109.74</v>
      </c>
      <c r="C9" s="81">
        <v>174.9</v>
      </c>
      <c r="D9" s="81">
        <v>3.93</v>
      </c>
      <c r="E9" s="82">
        <v>80</v>
      </c>
      <c r="F9" s="82">
        <v>94.1</v>
      </c>
      <c r="G9" s="83">
        <v>11.8</v>
      </c>
    </row>
    <row r="10" ht="16.5" spans="1:8">
      <c r="A10" s="81">
        <v>20251115</v>
      </c>
      <c r="B10" s="82">
        <v>249.5</v>
      </c>
      <c r="C10" s="81">
        <v>237.9</v>
      </c>
      <c r="D10" s="81">
        <v>4.88</v>
      </c>
      <c r="E10" s="82">
        <v>84.6</v>
      </c>
      <c r="F10" s="82">
        <v>95.8</v>
      </c>
      <c r="G10" s="83">
        <v>11.48</v>
      </c>
    </row>
    <row r="11" ht="16.5" spans="1:8">
      <c r="A11" s="39" t="s">
        <v>3052</v>
      </c>
      <c r="B11" s="9">
        <v>619</v>
      </c>
      <c r="C11" s="10">
        <v>122.8</v>
      </c>
      <c r="D11" s="11">
        <v>3.06</v>
      </c>
      <c r="E11" s="12">
        <v>77.7</v>
      </c>
      <c r="F11" s="12">
        <v>92.6</v>
      </c>
      <c r="G11" s="11">
        <v>10.81</v>
      </c>
      <c r="H11" s="71">
        <v>25100306</v>
      </c>
    </row>
    <row r="12" ht="16.5" spans="1:8">
      <c r="A12" s="39" t="s">
        <v>3053</v>
      </c>
      <c r="B12" s="9">
        <v>595.4</v>
      </c>
      <c r="C12" s="10">
        <v>122.5</v>
      </c>
      <c r="D12" s="11">
        <v>3.06</v>
      </c>
      <c r="E12" s="12">
        <v>77.9</v>
      </c>
      <c r="F12" s="12">
        <v>92.9</v>
      </c>
      <c r="G12" s="11">
        <v>10.84</v>
      </c>
      <c r="H12" s="71">
        <v>25100307</v>
      </c>
    </row>
    <row r="13" ht="16.5" spans="1:8">
      <c r="A13" s="81">
        <v>20251113</v>
      </c>
      <c r="B13" s="82">
        <v>1560</v>
      </c>
      <c r="C13" s="81">
        <v>236.8</v>
      </c>
      <c r="D13" s="81">
        <v>4.71</v>
      </c>
      <c r="E13" s="82">
        <v>83.9</v>
      </c>
      <c r="F13" s="82">
        <v>94.2</v>
      </c>
      <c r="G13" s="83">
        <v>11.95</v>
      </c>
    </row>
    <row r="14" ht="16.5" spans="1:8">
      <c r="A14" s="39" t="s">
        <v>3054</v>
      </c>
      <c r="B14" s="9">
        <v>622.8</v>
      </c>
      <c r="C14" s="10">
        <v>121.8</v>
      </c>
      <c r="D14" s="11">
        <v>3.12</v>
      </c>
      <c r="E14" s="12">
        <v>77.8</v>
      </c>
      <c r="F14" s="12">
        <v>92.5</v>
      </c>
      <c r="G14" s="11">
        <v>11.34</v>
      </c>
      <c r="H14" s="71">
        <v>25100308</v>
      </c>
    </row>
    <row r="15" ht="16.5" spans="1:8">
      <c r="A15" s="39" t="s">
        <v>3055</v>
      </c>
      <c r="B15" s="9">
        <v>659.8</v>
      </c>
      <c r="C15" s="10">
        <v>121.9</v>
      </c>
      <c r="D15" s="11">
        <v>3.12</v>
      </c>
      <c r="E15" s="12">
        <v>77.4</v>
      </c>
      <c r="F15" s="12">
        <v>92.1</v>
      </c>
      <c r="G15" s="11">
        <v>11.83</v>
      </c>
      <c r="H15" s="71">
        <v>25100309</v>
      </c>
    </row>
    <row r="16" ht="16.5" spans="1:8">
      <c r="A16" s="39" t="s">
        <v>3056</v>
      </c>
      <c r="B16" s="9">
        <v>699</v>
      </c>
      <c r="C16" s="10">
        <v>149</v>
      </c>
      <c r="D16" s="11">
        <v>3.43</v>
      </c>
      <c r="E16" s="12">
        <v>76.3</v>
      </c>
      <c r="F16" s="12">
        <v>90</v>
      </c>
      <c r="G16" s="11">
        <v>11.73</v>
      </c>
      <c r="H16" s="84">
        <v>25100239</v>
      </c>
    </row>
    <row r="17" ht="16.5" spans="1:8">
      <c r="A17" s="54" t="s">
        <v>3057</v>
      </c>
      <c r="B17" s="9">
        <v>619.8</v>
      </c>
      <c r="C17" s="10">
        <v>247.3</v>
      </c>
      <c r="D17" s="11">
        <v>5.16</v>
      </c>
      <c r="E17" s="12">
        <v>81.2</v>
      </c>
      <c r="F17" s="12">
        <v>93.4</v>
      </c>
      <c r="G17" s="11">
        <v>13.97</v>
      </c>
      <c r="H17" s="71">
        <v>25100001</v>
      </c>
    </row>
    <row r="18" ht="16.5" spans="1:8">
      <c r="A18" s="39" t="s">
        <v>3058</v>
      </c>
      <c r="B18" s="9">
        <v>521.2</v>
      </c>
      <c r="C18" s="10">
        <v>136.1</v>
      </c>
      <c r="D18" s="11">
        <v>3.24</v>
      </c>
      <c r="E18" s="12">
        <v>76.5</v>
      </c>
      <c r="F18" s="12">
        <v>90.4</v>
      </c>
      <c r="G18" s="11">
        <v>11.94</v>
      </c>
      <c r="H18" s="84">
        <v>25100240</v>
      </c>
    </row>
    <row r="19" ht="16.5" spans="1:8">
      <c r="A19" s="39" t="s">
        <v>3059</v>
      </c>
      <c r="B19" s="9">
        <v>395.4</v>
      </c>
      <c r="C19" s="10">
        <v>112</v>
      </c>
      <c r="D19" s="11">
        <v>2.67</v>
      </c>
      <c r="E19" s="12">
        <v>77.2</v>
      </c>
      <c r="F19" s="12">
        <v>90.9</v>
      </c>
      <c r="G19" s="11">
        <v>11.21</v>
      </c>
      <c r="H19" s="71">
        <v>25100241</v>
      </c>
    </row>
    <row r="20" ht="16.5" spans="1:8">
      <c r="A20" s="39" t="s">
        <v>3060</v>
      </c>
      <c r="B20" s="9">
        <v>575.6</v>
      </c>
      <c r="C20" s="10">
        <v>240</v>
      </c>
      <c r="D20" s="11">
        <v>4.77</v>
      </c>
      <c r="E20" s="12">
        <v>87.9</v>
      </c>
      <c r="F20" s="12">
        <v>96.1</v>
      </c>
      <c r="G20" s="11">
        <v>12.34</v>
      </c>
      <c r="H20" s="71">
        <v>25100250</v>
      </c>
    </row>
    <row r="21" ht="16.5" spans="1:8">
      <c r="A21" s="54" t="s">
        <v>3061</v>
      </c>
      <c r="B21" s="9">
        <v>506.8</v>
      </c>
      <c r="C21" s="10">
        <v>169.6</v>
      </c>
      <c r="D21" s="11">
        <v>4.08</v>
      </c>
      <c r="E21" s="12">
        <v>69.1</v>
      </c>
      <c r="F21" s="12">
        <v>86.7</v>
      </c>
      <c r="G21" s="11">
        <v>11.78</v>
      </c>
      <c r="H21" s="71">
        <v>24090033</v>
      </c>
    </row>
    <row r="22" ht="16.5" spans="1:8">
      <c r="A22" s="39" t="s">
        <v>795</v>
      </c>
      <c r="B22" s="9">
        <v>497.2</v>
      </c>
      <c r="C22" s="10">
        <v>135.3</v>
      </c>
      <c r="D22" s="11">
        <v>3.43</v>
      </c>
      <c r="E22" s="12">
        <v>54.2</v>
      </c>
      <c r="F22" s="12">
        <v>80.9</v>
      </c>
      <c r="G22" s="11">
        <v>11.34</v>
      </c>
      <c r="H22" s="84">
        <v>24120477</v>
      </c>
    </row>
    <row r="23" ht="16.5" spans="1:8">
      <c r="A23" s="39" t="s">
        <v>1945</v>
      </c>
      <c r="B23" s="9">
        <v>410.6</v>
      </c>
      <c r="C23" s="10">
        <v>259.7</v>
      </c>
      <c r="D23" s="11">
        <v>4.97</v>
      </c>
      <c r="E23" s="12">
        <v>90.2</v>
      </c>
      <c r="F23" s="12">
        <v>97.9</v>
      </c>
      <c r="G23" s="11">
        <v>12.39</v>
      </c>
      <c r="H23" s="71">
        <v>24120624</v>
      </c>
    </row>
  </sheetData>
  <conditionalFormatting sqref="A3:C3">
    <cfRule type="expression" dxfId="2" priority="74">
      <formula>AND(MOD(ROW(),2)=1,#REF!&lt;&gt;"")</formula>
    </cfRule>
  </conditionalFormatting>
  <conditionalFormatting sqref="C3">
    <cfRule type="expression" dxfId="3" priority="72">
      <formula>#REF!&lt;#REF!</formula>
    </cfRule>
  </conditionalFormatting>
  <conditionalFormatting sqref="D3">
    <cfRule type="expression" dxfId="4" priority="71">
      <formula>#REF!&lt;#REF!</formula>
    </cfRule>
    <cfRule type="expression" dxfId="2" priority="73">
      <formula>AND(MOD(ROW(),2)=1,#REF!&lt;&gt;"")</formula>
    </cfRule>
  </conditionalFormatting>
  <conditionalFormatting sqref="E3:G3">
    <cfRule type="expression" dxfId="2" priority="70">
      <formula>AND(MOD(ROW(),2)=1,#REF!&lt;&gt;"")</formula>
    </cfRule>
  </conditionalFormatting>
  <conditionalFormatting sqref="E3">
    <cfRule type="expression" dxfId="4" priority="68">
      <formula>#REF!&lt;#REF!</formula>
    </cfRule>
  </conditionalFormatting>
  <conditionalFormatting sqref="F3">
    <cfRule type="expression" dxfId="4" priority="67">
      <formula>#REF!&lt;#REF!</formula>
    </cfRule>
    <cfRule type="expression" dxfId="1" priority="69">
      <formula>#REF!&lt;Z5:Z752</formula>
    </cfRule>
  </conditionalFormatting>
  <conditionalFormatting sqref="G3">
    <cfRule type="expression" dxfId="4" priority="66">
      <formula>#REF!&gt;#REF!</formula>
    </cfRule>
  </conditionalFormatting>
  <conditionalFormatting sqref="A4:C4">
    <cfRule type="expression" dxfId="2" priority="101">
      <formula>AND(MOD(ROW(),2)=1,#REF!&lt;&gt;"")</formula>
    </cfRule>
  </conditionalFormatting>
  <conditionalFormatting sqref="C4">
    <cfRule type="expression" dxfId="3" priority="99">
      <formula>#REF!&lt;#REF!</formula>
    </cfRule>
  </conditionalFormatting>
  <conditionalFormatting sqref="D4">
    <cfRule type="expression" dxfId="4" priority="98">
      <formula>#REF!&lt;#REF!</formula>
    </cfRule>
    <cfRule type="expression" dxfId="2" priority="100">
      <formula>AND(MOD(ROW(),2)=1,#REF!&lt;&gt;"")</formula>
    </cfRule>
  </conditionalFormatting>
  <conditionalFormatting sqref="E4:G4">
    <cfRule type="expression" dxfId="2" priority="96">
      <formula>AND(MOD(ROW(),2)=1,#REF!&lt;&gt;"")</formula>
    </cfRule>
  </conditionalFormatting>
  <conditionalFormatting sqref="E4">
    <cfRule type="expression" dxfId="4" priority="95">
      <formula>#REF!&lt;#REF!</formula>
    </cfRule>
  </conditionalFormatting>
  <conditionalFormatting sqref="F4">
    <cfRule type="expression" dxfId="4" priority="94">
      <formula>#REF!&lt;#REF!</formula>
    </cfRule>
    <cfRule type="expression" dxfId="1" priority="97">
      <formula>#REF!&lt;Z744:Z1048573</formula>
    </cfRule>
  </conditionalFormatting>
  <conditionalFormatting sqref="G4">
    <cfRule type="expression" dxfId="4" priority="93">
      <formula>#REF!&gt;#REF!</formula>
    </cfRule>
  </conditionalFormatting>
  <conditionalFormatting sqref="A5:C5">
    <cfRule type="expression" dxfId="2" priority="56">
      <formula>AND(MOD(ROW(),2)=1,#REF!&lt;&gt;"")</formula>
    </cfRule>
  </conditionalFormatting>
  <conditionalFormatting sqref="C5">
    <cfRule type="expression" dxfId="3" priority="54">
      <formula>#REF!&lt;$T9</formula>
    </cfRule>
  </conditionalFormatting>
  <conditionalFormatting sqref="D5">
    <cfRule type="expression" dxfId="4" priority="53">
      <formula>$D16&lt;$U9</formula>
    </cfRule>
    <cfRule type="expression" dxfId="2" priority="55">
      <formula>AND(MOD(ROW(),2)=1,#REF!&lt;&gt;"")</formula>
    </cfRule>
  </conditionalFormatting>
  <conditionalFormatting sqref="E5:G5">
    <cfRule type="expression" dxfId="2" priority="52">
      <formula>AND(MOD(ROW(),2)=1,#REF!&lt;&gt;"")</formula>
    </cfRule>
  </conditionalFormatting>
  <conditionalFormatting sqref="E5">
    <cfRule type="expression" dxfId="4" priority="50">
      <formula>#REF!&lt;$V9</formula>
    </cfRule>
  </conditionalFormatting>
  <conditionalFormatting sqref="F5">
    <cfRule type="expression" dxfId="4" priority="49">
      <formula>#REF!&lt;$W9</formula>
    </cfRule>
    <cfRule type="expression" dxfId="1" priority="51">
      <formula>#REF!&lt;Z9:Z757</formula>
    </cfRule>
  </conditionalFormatting>
  <conditionalFormatting sqref="G5">
    <cfRule type="expression" dxfId="4" priority="48">
      <formula>#REF!&gt;$X9</formula>
    </cfRule>
  </conditionalFormatting>
  <conditionalFormatting sqref="A6:C6">
    <cfRule type="expression" dxfId="2" priority="92">
      <formula>AND(MOD(ROW(),2)=1,#REF!&lt;&gt;"")</formula>
    </cfRule>
  </conditionalFormatting>
  <conditionalFormatting sqref="C6">
    <cfRule type="expression" dxfId="3" priority="90">
      <formula>#REF!&lt;$T1048568</formula>
    </cfRule>
  </conditionalFormatting>
  <conditionalFormatting sqref="D6">
    <cfRule type="expression" dxfId="4" priority="89">
      <formula>#REF!&lt;$U1048568</formula>
    </cfRule>
    <cfRule type="expression" dxfId="2" priority="91">
      <formula>AND(MOD(ROW(),2)=1,#REF!&lt;&gt;"")</formula>
    </cfRule>
  </conditionalFormatting>
  <conditionalFormatting sqref="E6">
    <cfRule type="expression" dxfId="4" priority="86">
      <formula>#REF!&lt;$V1048568</formula>
    </cfRule>
  </conditionalFormatting>
  <conditionalFormatting sqref="E6:G6">
    <cfRule type="expression" dxfId="2" priority="87">
      <formula>AND(MOD(ROW(),2)=1,#REF!&lt;&gt;"")</formula>
    </cfRule>
  </conditionalFormatting>
  <conditionalFormatting sqref="F6">
    <cfRule type="expression" dxfId="4" priority="85">
      <formula>#REF!&lt;$W1048568</formula>
    </cfRule>
    <cfRule type="expression" dxfId="1" priority="88">
      <formula>#REF!&lt;Z738:Z1048568</formula>
    </cfRule>
  </conditionalFormatting>
  <conditionalFormatting sqref="G6">
    <cfRule type="expression" dxfId="4" priority="84">
      <formula>#REF!&gt;$X1048568</formula>
    </cfRule>
  </conditionalFormatting>
  <conditionalFormatting sqref="A8:C8">
    <cfRule type="expression" dxfId="2" priority="46">
      <formula>AND(MOD(ROW(),2)=1,$A8&lt;&gt;"")</formula>
    </cfRule>
  </conditionalFormatting>
  <conditionalFormatting sqref="C8">
    <cfRule type="expression" dxfId="3" priority="39">
      <formula>#REF!&lt;$T20</formula>
    </cfRule>
  </conditionalFormatting>
  <conditionalFormatting sqref="D8">
    <cfRule type="expression" dxfId="4" priority="40">
      <formula>$D19&lt;$U20</formula>
    </cfRule>
    <cfRule type="expression" dxfId="2" priority="41">
      <formula>AND(MOD(ROW(),2)=1,$A8&lt;&gt;"")</formula>
    </cfRule>
  </conditionalFormatting>
  <conditionalFormatting sqref="E8:G8">
    <cfRule type="expression" dxfId="2" priority="47">
      <formula>AND(MOD(ROW(),2)=1,$A8&lt;&gt;"")</formula>
    </cfRule>
  </conditionalFormatting>
  <conditionalFormatting sqref="E8">
    <cfRule type="expression" dxfId="4" priority="42">
      <formula>#REF!&lt;$V20</formula>
    </cfRule>
  </conditionalFormatting>
  <conditionalFormatting sqref="F8">
    <cfRule type="expression" dxfId="4" priority="43">
      <formula>#REF!&lt;$W20</formula>
    </cfRule>
    <cfRule type="expression" dxfId="1" priority="44">
      <formula>#REF!&lt;Q20:Q768</formula>
    </cfRule>
  </conditionalFormatting>
  <conditionalFormatting sqref="G8">
    <cfRule type="expression" dxfId="4" priority="45">
      <formula>#REF!&gt;$X20</formula>
    </cfRule>
  </conditionalFormatting>
  <conditionalFormatting sqref="A9:C9">
    <cfRule type="expression" dxfId="2" priority="38">
      <formula>AND(MOD(ROW(),2)=1,$A9&lt;&gt;"")</formula>
    </cfRule>
  </conditionalFormatting>
  <conditionalFormatting sqref="C9">
    <cfRule type="expression" dxfId="3" priority="36">
      <formula>$A28&lt;$T16</formula>
    </cfRule>
  </conditionalFormatting>
  <conditionalFormatting sqref="D9">
    <cfRule type="expression" dxfId="4" priority="35">
      <formula>#REF!&lt;$U16</formula>
    </cfRule>
    <cfRule type="expression" dxfId="2" priority="37">
      <formula>AND(MOD(ROW(),2)=1,$A9&lt;&gt;"")</formula>
    </cfRule>
  </conditionalFormatting>
  <conditionalFormatting sqref="E9:G9">
    <cfRule type="expression" dxfId="2" priority="34">
      <formula>AND(MOD(ROW(),2)=1,$A9&lt;&gt;"")</formula>
    </cfRule>
  </conditionalFormatting>
  <conditionalFormatting sqref="E9">
    <cfRule type="expression" dxfId="4" priority="32">
      <formula>$C28&lt;$V16</formula>
    </cfRule>
  </conditionalFormatting>
  <conditionalFormatting sqref="F9">
    <cfRule type="expression" dxfId="4" priority="31">
      <formula>$D28&lt;$W16</formula>
    </cfRule>
    <cfRule type="expression" dxfId="1" priority="33">
      <formula>#REF!&lt;Q16:Q764</formula>
    </cfRule>
  </conditionalFormatting>
  <conditionalFormatting sqref="G9">
    <cfRule type="expression" dxfId="4" priority="30">
      <formula>$F28&gt;$X16</formula>
    </cfRule>
  </conditionalFormatting>
  <conditionalFormatting sqref="A10:C10">
    <cfRule type="expression" dxfId="2" priority="29">
      <formula>AND(MOD(ROW(),2)=1,$A10&lt;&gt;"")</formula>
    </cfRule>
  </conditionalFormatting>
  <conditionalFormatting sqref="C10">
    <cfRule type="expression" dxfId="3" priority="27">
      <formula>#REF!&lt;$T15</formula>
    </cfRule>
  </conditionalFormatting>
  <conditionalFormatting sqref="D10">
    <cfRule type="expression" dxfId="4" priority="26">
      <formula>#REF!&lt;$U15</formula>
    </cfRule>
    <cfRule type="expression" dxfId="2" priority="28">
      <formula>AND(MOD(ROW(),2)=1,$A10&lt;&gt;"")</formula>
    </cfRule>
  </conditionalFormatting>
  <conditionalFormatting sqref="E10:G10">
    <cfRule type="expression" dxfId="2" priority="25">
      <formula>AND(MOD(ROW(),2)=1,$A10&lt;&gt;"")</formula>
    </cfRule>
  </conditionalFormatting>
  <conditionalFormatting sqref="E10">
    <cfRule type="expression" dxfId="4" priority="23">
      <formula>#REF!&lt;$V15</formula>
    </cfRule>
  </conditionalFormatting>
  <conditionalFormatting sqref="F10">
    <cfRule type="expression" dxfId="4" priority="22">
      <formula>#REF!&lt;$W15</formula>
    </cfRule>
    <cfRule type="expression" dxfId="1" priority="24">
      <formula>#REF!&lt;Q15:Q763</formula>
    </cfRule>
  </conditionalFormatting>
  <conditionalFormatting sqref="G10">
    <cfRule type="expression" dxfId="4" priority="21">
      <formula>#REF!&gt;$X15</formula>
    </cfRule>
  </conditionalFormatting>
  <conditionalFormatting sqref="A13:C13">
    <cfRule type="expression" dxfId="2" priority="109">
      <formula>AND(MOD(ROW(),2)=1,#REF!&lt;&gt;"")</formula>
    </cfRule>
  </conditionalFormatting>
  <conditionalFormatting sqref="C13">
    <cfRule type="expression" dxfId="3" priority="102">
      <formula>#REF!&lt;#REF!</formula>
    </cfRule>
  </conditionalFormatting>
  <conditionalFormatting sqref="D13">
    <cfRule type="expression" dxfId="4" priority="103">
      <formula>#REF!&lt;#REF!</formula>
    </cfRule>
    <cfRule type="expression" dxfId="2" priority="104">
      <formula>AND(MOD(ROW(),2)=1,#REF!&lt;&gt;"")</formula>
    </cfRule>
  </conditionalFormatting>
  <conditionalFormatting sqref="E13:G13">
    <cfRule type="expression" dxfId="2" priority="110">
      <formula>AND(MOD(ROW(),2)=1,#REF!&lt;&gt;"")</formula>
    </cfRule>
  </conditionalFormatting>
  <conditionalFormatting sqref="E13">
    <cfRule type="expression" dxfId="4" priority="105">
      <formula>#REF!&lt;#REF!</formula>
    </cfRule>
  </conditionalFormatting>
  <conditionalFormatting sqref="F13">
    <cfRule type="expression" dxfId="4" priority="106">
      <formula>#REF!&lt;#REF!</formula>
    </cfRule>
    <cfRule type="expression" dxfId="1" priority="107">
      <formula>#REF!&lt;Z746:Z1048573</formula>
    </cfRule>
  </conditionalFormatting>
  <conditionalFormatting sqref="G13">
    <cfRule type="expression" dxfId="4" priority="108">
      <formula>#REF!&gt;#REF!</formula>
    </cfRule>
  </conditionalFormatting>
  <conditionalFormatting sqref="A1:A2">
    <cfRule type="duplicateValues" dxfId="0" priority="111"/>
  </conditionalFormatting>
  <dataValidations count="1">
    <dataValidation allowBlank="1" showInputMessage="1" showErrorMessage="1" sqref="B3:C4 B5:C7 B8:C23"/>
  </dataValidations>
  <pageMargins left="0.75" right="0.75" top="1" bottom="1" header="0.5" footer="0.5"/>
  <pageSetup paperSize="9" orientation="portrait"/>
  <headerFooter/>
  <legacy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J1" sqref="J$1:M$1048576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203" t="s">
        <v>3062</v>
      </c>
      <c r="B1" s="2">
        <f>SUM(B3:B32)</f>
        <v>10105</v>
      </c>
      <c r="C1" s="3" cm="1">
        <f t="array" ref="C1">SUMPRODUCT(C3:C32*B3:B32)/B1</f>
        <v>185.678875804057</v>
      </c>
      <c r="D1" s="4" cm="1">
        <f t="array" ref="D1">SUMPRODUCT(B3:B32*D3:D32)/B1</f>
        <v>3.84800019792182</v>
      </c>
      <c r="E1" s="3" cm="1">
        <f t="array" ref="E1">SUMPRODUCT(B3:B32*E3:E32)/B1</f>
        <v>79.7589430974765</v>
      </c>
      <c r="F1" s="3" cm="1">
        <f t="array" ref="F1">SUMPRODUCT(B3:B32*F3:F32)/B1</f>
        <v>92.5465927758535</v>
      </c>
      <c r="G1" s="3" cm="1">
        <f t="array" ref="G1">SUMPRODUCT(B3:B32*G3:G32)/B1</f>
        <v>11.8237799109352</v>
      </c>
    </row>
    <row r="2" ht="16.5" spans="1:8">
      <c r="A2" s="5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38" t="s">
        <v>3063</v>
      </c>
      <c r="B3" s="34">
        <v>295.8</v>
      </c>
      <c r="C3" s="35">
        <v>169.2</v>
      </c>
      <c r="D3" s="36">
        <v>3.91</v>
      </c>
      <c r="E3" s="37">
        <v>66</v>
      </c>
      <c r="F3" s="37">
        <v>86.9</v>
      </c>
      <c r="G3" s="36">
        <v>9.78</v>
      </c>
      <c r="H3" s="9">
        <v>25100108</v>
      </c>
    </row>
    <row r="4" ht="16.5" spans="1:8">
      <c r="A4" s="39" t="s">
        <v>3064</v>
      </c>
      <c r="B4" s="9">
        <v>711</v>
      </c>
      <c r="C4" s="10">
        <v>227.6</v>
      </c>
      <c r="D4" s="11">
        <v>4.2</v>
      </c>
      <c r="E4" s="12">
        <v>86.3</v>
      </c>
      <c r="F4" s="12">
        <v>95.8</v>
      </c>
      <c r="G4" s="11">
        <v>11.23</v>
      </c>
      <c r="H4" s="9">
        <v>25100143</v>
      </c>
    </row>
    <row r="5" ht="16.5" spans="1:8">
      <c r="A5" s="39" t="s">
        <v>3065</v>
      </c>
      <c r="B5" s="9">
        <v>673.4</v>
      </c>
      <c r="C5" s="10">
        <v>217.1</v>
      </c>
      <c r="D5" s="11">
        <v>4.23</v>
      </c>
      <c r="E5" s="12">
        <v>83.2</v>
      </c>
      <c r="F5" s="12">
        <v>94.1</v>
      </c>
      <c r="G5" s="11">
        <v>11.74</v>
      </c>
      <c r="H5" s="9">
        <v>25100146</v>
      </c>
    </row>
    <row r="6" ht="16.5" spans="1:8">
      <c r="A6" s="39" t="s">
        <v>3066</v>
      </c>
      <c r="B6" s="9">
        <v>700.4</v>
      </c>
      <c r="C6" s="10">
        <v>233</v>
      </c>
      <c r="D6" s="11">
        <v>4.55</v>
      </c>
      <c r="E6" s="12">
        <v>84.3</v>
      </c>
      <c r="F6" s="12">
        <v>95.7</v>
      </c>
      <c r="G6" s="11">
        <v>10.86</v>
      </c>
      <c r="H6" s="9">
        <v>25100100</v>
      </c>
    </row>
    <row r="7" ht="16.5" spans="1:8">
      <c r="A7" s="39" t="s">
        <v>3067</v>
      </c>
      <c r="B7" s="9">
        <v>639.2</v>
      </c>
      <c r="C7" s="10">
        <v>124.5</v>
      </c>
      <c r="D7" s="11">
        <v>2.74</v>
      </c>
      <c r="E7" s="12">
        <v>79.7</v>
      </c>
      <c r="F7" s="12">
        <v>93.3</v>
      </c>
      <c r="G7" s="11">
        <v>11.09</v>
      </c>
      <c r="H7" s="9">
        <v>25100191</v>
      </c>
    </row>
    <row r="8" ht="16.5" spans="1:8">
      <c r="A8" s="39" t="s">
        <v>3068</v>
      </c>
      <c r="B8" s="9">
        <v>0</v>
      </c>
      <c r="C8" s="10">
        <v>237.1</v>
      </c>
      <c r="D8" s="11">
        <v>4.46</v>
      </c>
      <c r="E8" s="12">
        <v>87.6</v>
      </c>
      <c r="F8" s="12">
        <v>96.4</v>
      </c>
      <c r="G8" s="11">
        <v>11.23</v>
      </c>
      <c r="H8" s="9">
        <v>25100197</v>
      </c>
    </row>
    <row r="9" ht="16.5" spans="1:8">
      <c r="A9" s="39" t="s">
        <v>3069</v>
      </c>
      <c r="B9" s="9">
        <v>507.8</v>
      </c>
      <c r="C9" s="10">
        <v>243.9</v>
      </c>
      <c r="D9" s="11">
        <v>4.75</v>
      </c>
      <c r="E9" s="12">
        <v>80</v>
      </c>
      <c r="F9" s="12">
        <v>91.9</v>
      </c>
      <c r="G9" s="11">
        <v>11.21</v>
      </c>
      <c r="H9" s="9">
        <v>25100200</v>
      </c>
    </row>
    <row r="10" ht="16.5" spans="1:8">
      <c r="A10" s="54" t="s">
        <v>3070</v>
      </c>
      <c r="B10" s="9">
        <v>558.6</v>
      </c>
      <c r="C10" s="10">
        <v>104</v>
      </c>
      <c r="D10" s="11">
        <v>3.06</v>
      </c>
      <c r="E10" s="12">
        <v>76.7</v>
      </c>
      <c r="F10" s="12">
        <v>90.2</v>
      </c>
      <c r="G10" s="11">
        <v>14.55</v>
      </c>
      <c r="H10" s="9">
        <v>24090082</v>
      </c>
    </row>
    <row r="11" ht="16.5" spans="1:8">
      <c r="A11" s="39" t="s">
        <v>3071</v>
      </c>
      <c r="B11" s="9">
        <v>599.6</v>
      </c>
      <c r="C11" s="10">
        <v>239.7</v>
      </c>
      <c r="D11" s="11">
        <v>4.55</v>
      </c>
      <c r="E11" s="12">
        <v>81.2</v>
      </c>
      <c r="F11" s="12">
        <v>93</v>
      </c>
      <c r="G11" s="11">
        <v>10.85</v>
      </c>
      <c r="H11" s="56">
        <v>25100168</v>
      </c>
    </row>
    <row r="12" ht="16.5" spans="1:8">
      <c r="A12" s="38" t="s">
        <v>3072</v>
      </c>
      <c r="B12" s="34">
        <v>893.6</v>
      </c>
      <c r="C12" s="35">
        <v>123</v>
      </c>
      <c r="D12" s="36">
        <v>2.93</v>
      </c>
      <c r="E12" s="37">
        <v>73.4</v>
      </c>
      <c r="F12" s="37">
        <v>89.6</v>
      </c>
      <c r="G12" s="36">
        <v>11.16</v>
      </c>
      <c r="H12" s="56">
        <v>25100180</v>
      </c>
    </row>
    <row r="13" ht="16.5" spans="1:8">
      <c r="A13" s="54" t="s">
        <v>3073</v>
      </c>
      <c r="B13" s="9">
        <v>551.8</v>
      </c>
      <c r="C13" s="10">
        <v>103.6</v>
      </c>
      <c r="D13" s="11">
        <v>3.06</v>
      </c>
      <c r="E13" s="12">
        <v>76.9</v>
      </c>
      <c r="F13" s="12">
        <v>90.4</v>
      </c>
      <c r="G13" s="11">
        <v>14.55</v>
      </c>
      <c r="H13" s="56">
        <v>24090083</v>
      </c>
    </row>
    <row r="14" ht="16.5" spans="1:8">
      <c r="A14" s="39" t="s">
        <v>3074</v>
      </c>
      <c r="B14" s="9">
        <v>590.6</v>
      </c>
      <c r="C14" s="10">
        <v>238.7</v>
      </c>
      <c r="D14" s="11">
        <v>4.41</v>
      </c>
      <c r="E14" s="12">
        <v>88.3</v>
      </c>
      <c r="F14" s="12">
        <v>96.7</v>
      </c>
      <c r="G14" s="11">
        <v>11.44</v>
      </c>
      <c r="H14" s="56">
        <v>25100163</v>
      </c>
    </row>
    <row r="15" ht="16.5" spans="1:8">
      <c r="A15" s="54" t="s">
        <v>3075</v>
      </c>
      <c r="B15" s="9">
        <v>506.6</v>
      </c>
      <c r="C15" s="10">
        <v>123.3</v>
      </c>
      <c r="D15" s="11">
        <v>3.21</v>
      </c>
      <c r="E15" s="12">
        <v>74.3</v>
      </c>
      <c r="F15" s="12">
        <v>89.1</v>
      </c>
      <c r="G15" s="11">
        <v>14.21</v>
      </c>
      <c r="H15" s="56">
        <v>24090059</v>
      </c>
    </row>
    <row r="16" ht="16.5" spans="1:8">
      <c r="A16" s="39" t="s">
        <v>3076</v>
      </c>
      <c r="B16" s="9">
        <v>574.8</v>
      </c>
      <c r="C16" s="10">
        <v>233.5</v>
      </c>
      <c r="D16" s="11">
        <v>4.41</v>
      </c>
      <c r="E16" s="12">
        <v>85</v>
      </c>
      <c r="F16" s="12">
        <v>95.2</v>
      </c>
      <c r="G16" s="11">
        <v>10.89</v>
      </c>
      <c r="H16" s="56">
        <v>25100167</v>
      </c>
    </row>
    <row r="17" ht="16.5" spans="1:8">
      <c r="A17" s="18" t="s">
        <v>3077</v>
      </c>
      <c r="B17" s="14">
        <v>627.6</v>
      </c>
      <c r="C17" s="15">
        <v>264.1</v>
      </c>
      <c r="D17" s="16">
        <v>4.97</v>
      </c>
      <c r="E17" s="17">
        <v>81.8</v>
      </c>
      <c r="F17" s="17">
        <v>94.6</v>
      </c>
      <c r="G17" s="16">
        <v>12.93</v>
      </c>
      <c r="H17" s="14">
        <v>25090003</v>
      </c>
    </row>
    <row r="18" ht="16.5" spans="1:8">
      <c r="A18" s="23" t="s">
        <v>3078</v>
      </c>
      <c r="B18" s="14">
        <v>603.6</v>
      </c>
      <c r="C18" s="15">
        <v>127.5</v>
      </c>
      <c r="D18" s="16">
        <v>2.96</v>
      </c>
      <c r="E18" s="17">
        <v>73.4</v>
      </c>
      <c r="F18" s="17">
        <v>89.5</v>
      </c>
      <c r="G18" s="16">
        <v>11.09</v>
      </c>
      <c r="H18" s="14">
        <v>25100179</v>
      </c>
    </row>
    <row r="19" ht="16.5" spans="1:8">
      <c r="A19" s="18" t="s">
        <v>3079</v>
      </c>
      <c r="B19" s="14">
        <v>479.8</v>
      </c>
      <c r="C19" s="15">
        <v>121</v>
      </c>
      <c r="D19" s="16">
        <v>2.9</v>
      </c>
      <c r="E19" s="17">
        <v>73.5</v>
      </c>
      <c r="F19" s="17">
        <v>89.3</v>
      </c>
      <c r="G19" s="13">
        <v>11.75</v>
      </c>
      <c r="H19" s="14">
        <v>24090037</v>
      </c>
    </row>
    <row r="20" ht="16.5" spans="1:8">
      <c r="A20" s="23" t="s">
        <v>3080</v>
      </c>
      <c r="B20" s="14">
        <v>590.8</v>
      </c>
      <c r="C20" s="15">
        <v>244.2</v>
      </c>
      <c r="D20" s="16">
        <v>4.63</v>
      </c>
      <c r="E20" s="17">
        <v>83.5</v>
      </c>
      <c r="F20" s="17">
        <v>93.7</v>
      </c>
      <c r="G20" s="15">
        <v>11.87</v>
      </c>
      <c r="H20" s="14">
        <v>25100253</v>
      </c>
    </row>
  </sheetData>
  <conditionalFormatting sqref="D19">
    <cfRule type="containsText" dxfId="5" priority="3" operator="between" text="4级">
      <formula>NOT(ISERROR(SEARCH("4级",D19)))</formula>
    </cfRule>
    <cfRule type="containsText" dxfId="6" priority="4" operator="between" text="3级">
      <formula>NOT(ISERROR(SEARCH("3级",D19)))</formula>
    </cfRule>
  </conditionalFormatting>
  <conditionalFormatting sqref="G19">
    <cfRule type="containsText" dxfId="5" priority="1" operator="between" text="4级">
      <formula>NOT(ISERROR(SEARCH("4级",G19)))</formula>
    </cfRule>
    <cfRule type="containsText" dxfId="6" priority="2" operator="between" text="3级">
      <formula>NOT(ISERROR(SEARCH("3级",G19)))</formula>
    </cfRule>
  </conditionalFormatting>
  <conditionalFormatting sqref="A1:A2">
    <cfRule type="duplicateValues" dxfId="0" priority="5"/>
  </conditionalFormatting>
  <dataValidations count="1">
    <dataValidation allowBlank="1" showInputMessage="1" showErrorMessage="1" sqref="G20 B3:C20"/>
  </dataValidations>
  <pageMargins left="0.75" right="0.75" top="1" bottom="1" header="0.5" footer="0.5"/>
  <pageSetup paperSize="9" orientation="portrait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31" sqref="E31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1128</v>
      </c>
      <c r="B1" s="2">
        <f>SUM(B3:B32)</f>
        <v>10073</v>
      </c>
      <c r="C1" s="3" cm="1">
        <f t="array" ref="C1">SUMPRODUCT(C3:C32*B3:B32)/B1</f>
        <v>262.028349051921</v>
      </c>
      <c r="D1" s="4" cm="1">
        <f t="array" ref="D1">SUMPRODUCT(B3:B32*D3:D32)/B1</f>
        <v>4.87088474138787</v>
      </c>
      <c r="E1" s="3" cm="1">
        <f t="array" ref="E1">SUMPRODUCT(B3:B32*E3:E32)/B1</f>
        <v>88.4703166881763</v>
      </c>
      <c r="F1" s="3" cm="1">
        <f t="array" ref="F1">SUMPRODUCT(B3:B32*F3:F32)/B1</f>
        <v>97.4757291770078</v>
      </c>
    </row>
    <row r="2" ht="16.5" spans="1:7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1">
        <v>2510003</v>
      </c>
      <c r="B3" s="80">
        <v>3000</v>
      </c>
      <c r="C3" s="1">
        <v>262.3</v>
      </c>
      <c r="D3" s="1">
        <v>4.75</v>
      </c>
      <c r="E3" s="2">
        <v>85.8</v>
      </c>
      <c r="F3" s="2">
        <v>96.4</v>
      </c>
      <c r="G3" s="60"/>
    </row>
    <row r="4" ht="16.5" spans="1:7">
      <c r="A4" s="39" t="s">
        <v>3081</v>
      </c>
      <c r="B4" s="9">
        <v>514.8</v>
      </c>
      <c r="C4" s="10">
        <v>252.4</v>
      </c>
      <c r="D4" s="11">
        <v>4.91</v>
      </c>
      <c r="E4" s="12">
        <v>90.5</v>
      </c>
      <c r="F4" s="12">
        <v>98.1</v>
      </c>
      <c r="G4" s="9">
        <v>24120459</v>
      </c>
    </row>
    <row r="5" ht="16.5" spans="1:7">
      <c r="A5" s="39" t="s">
        <v>3082</v>
      </c>
      <c r="B5" s="9">
        <v>472.6</v>
      </c>
      <c r="C5" s="10">
        <v>263.9</v>
      </c>
      <c r="D5" s="11">
        <v>4.97</v>
      </c>
      <c r="E5" s="12">
        <v>87.6</v>
      </c>
      <c r="F5" s="12">
        <v>95.8</v>
      </c>
      <c r="G5" s="9">
        <v>24120587</v>
      </c>
    </row>
    <row r="6" ht="16.5" spans="1:7">
      <c r="A6" s="39" t="s">
        <v>3083</v>
      </c>
      <c r="B6" s="9">
        <v>448.6</v>
      </c>
      <c r="C6" s="10">
        <v>270.1</v>
      </c>
      <c r="D6" s="11">
        <v>4.94</v>
      </c>
      <c r="E6" s="12">
        <v>89.7</v>
      </c>
      <c r="F6" s="12">
        <v>97.4</v>
      </c>
      <c r="G6" s="9">
        <v>24120622</v>
      </c>
    </row>
    <row r="7" ht="16.5" spans="1:7">
      <c r="A7" s="39" t="s">
        <v>3084</v>
      </c>
      <c r="B7" s="9">
        <v>512</v>
      </c>
      <c r="C7" s="10">
        <v>277</v>
      </c>
      <c r="D7" s="11">
        <v>4.97</v>
      </c>
      <c r="E7" s="12">
        <v>92.2</v>
      </c>
      <c r="F7" s="12">
        <v>98.8</v>
      </c>
      <c r="G7" s="9">
        <v>25010293</v>
      </c>
    </row>
    <row r="8" ht="16.5" spans="1:7">
      <c r="A8" s="39" t="s">
        <v>3085</v>
      </c>
      <c r="B8" s="9">
        <v>493</v>
      </c>
      <c r="C8" s="10">
        <v>279.9</v>
      </c>
      <c r="D8" s="11">
        <v>4.97</v>
      </c>
      <c r="E8" s="12">
        <v>92</v>
      </c>
      <c r="F8" s="12">
        <v>98.7</v>
      </c>
      <c r="G8" s="9">
        <v>25010294</v>
      </c>
    </row>
    <row r="9" ht="16.5" spans="1:7">
      <c r="A9" s="39" t="s">
        <v>3086</v>
      </c>
      <c r="B9" s="9">
        <v>501.4</v>
      </c>
      <c r="C9" s="10">
        <v>268.4</v>
      </c>
      <c r="D9" s="11">
        <v>5.08</v>
      </c>
      <c r="E9" s="12">
        <v>90.9</v>
      </c>
      <c r="F9" s="12">
        <v>98.6</v>
      </c>
      <c r="G9" s="9">
        <v>25010510</v>
      </c>
    </row>
    <row r="10" ht="16.5" spans="1:7">
      <c r="A10" s="39" t="s">
        <v>3087</v>
      </c>
      <c r="B10" s="9">
        <v>209.8</v>
      </c>
      <c r="C10" s="10">
        <v>269.9</v>
      </c>
      <c r="D10" s="11">
        <v>5.08</v>
      </c>
      <c r="E10" s="12">
        <v>91</v>
      </c>
      <c r="F10" s="12">
        <v>98.7</v>
      </c>
      <c r="G10" s="9">
        <v>25010507</v>
      </c>
    </row>
    <row r="11" ht="16.5" spans="1:7">
      <c r="A11" s="39" t="s">
        <v>3088</v>
      </c>
      <c r="B11" s="9">
        <v>511.4</v>
      </c>
      <c r="C11" s="10">
        <v>273.3</v>
      </c>
      <c r="D11" s="11">
        <v>5</v>
      </c>
      <c r="E11" s="12">
        <v>90.5</v>
      </c>
      <c r="F11" s="12">
        <v>98.4</v>
      </c>
      <c r="G11" s="9">
        <v>25010511</v>
      </c>
    </row>
    <row r="12" ht="16.5" spans="1:7">
      <c r="A12" s="68" t="s">
        <v>3089</v>
      </c>
      <c r="B12" s="9">
        <v>63</v>
      </c>
      <c r="C12" s="10">
        <v>227.8</v>
      </c>
      <c r="D12" s="11">
        <v>4.61</v>
      </c>
      <c r="E12" s="12">
        <v>84.8</v>
      </c>
      <c r="F12" s="12">
        <v>96.4</v>
      </c>
      <c r="G12" s="9">
        <v>25040458</v>
      </c>
    </row>
    <row r="13" ht="16.5" spans="1:7">
      <c r="A13" s="68" t="s">
        <v>3090</v>
      </c>
      <c r="B13" s="9">
        <v>451.2</v>
      </c>
      <c r="C13" s="10">
        <v>228.9</v>
      </c>
      <c r="D13" s="11">
        <v>4.69</v>
      </c>
      <c r="E13" s="12">
        <v>84.3</v>
      </c>
      <c r="F13" s="12">
        <v>96.2</v>
      </c>
      <c r="G13" s="9">
        <v>25040457</v>
      </c>
    </row>
    <row r="14" ht="16.5" spans="1:7">
      <c r="A14" s="68" t="s">
        <v>3091</v>
      </c>
      <c r="B14" s="9">
        <v>841.2</v>
      </c>
      <c r="C14" s="10">
        <v>235.1</v>
      </c>
      <c r="D14" s="11">
        <v>4.61</v>
      </c>
      <c r="E14" s="12">
        <v>84.3</v>
      </c>
      <c r="F14" s="12">
        <v>96.7</v>
      </c>
      <c r="G14" s="9">
        <v>25060038</v>
      </c>
    </row>
    <row r="15" ht="16.5" spans="1:7">
      <c r="A15" s="39" t="s">
        <v>3092</v>
      </c>
      <c r="B15" s="9">
        <v>515</v>
      </c>
      <c r="C15" s="10">
        <v>279.9</v>
      </c>
      <c r="D15" s="11">
        <v>5</v>
      </c>
      <c r="E15" s="12">
        <v>92</v>
      </c>
      <c r="F15" s="12">
        <v>98.7</v>
      </c>
      <c r="G15" s="9">
        <v>25020324</v>
      </c>
    </row>
    <row r="16" ht="16.5" spans="1:7">
      <c r="A16" s="39" t="s">
        <v>3093</v>
      </c>
      <c r="B16" s="9">
        <v>527.6</v>
      </c>
      <c r="C16" s="10">
        <v>272.4</v>
      </c>
      <c r="D16" s="11">
        <v>5.13</v>
      </c>
      <c r="E16" s="12">
        <v>90.8</v>
      </c>
      <c r="F16" s="12">
        <v>98.1</v>
      </c>
      <c r="G16" s="9">
        <v>25020327</v>
      </c>
    </row>
    <row r="17" ht="16.5" spans="1:7">
      <c r="A17" s="39" t="s">
        <v>3094</v>
      </c>
      <c r="B17" s="9">
        <v>524.6</v>
      </c>
      <c r="C17" s="10">
        <v>258</v>
      </c>
      <c r="D17" s="11">
        <v>4.8</v>
      </c>
      <c r="E17" s="12">
        <v>91.4</v>
      </c>
      <c r="F17" s="12">
        <v>99</v>
      </c>
      <c r="G17" s="9">
        <v>25020120</v>
      </c>
    </row>
    <row r="18" ht="16.5" spans="1:7">
      <c r="A18" s="39" t="s">
        <v>3095</v>
      </c>
      <c r="B18" s="9">
        <v>486.8</v>
      </c>
      <c r="C18" s="10">
        <v>261.5</v>
      </c>
      <c r="D18" s="11">
        <v>5.08</v>
      </c>
      <c r="E18" s="12">
        <v>91.4</v>
      </c>
      <c r="F18" s="12">
        <v>98.9</v>
      </c>
      <c r="G18" s="9">
        <v>25020123</v>
      </c>
    </row>
  </sheetData>
  <conditionalFormatting sqref="A1:A2">
    <cfRule type="duplicateValues" dxfId="0" priority="9"/>
  </conditionalFormatting>
  <dataValidations count="1">
    <dataValidation allowBlank="1" showInputMessage="1" showErrorMessage="1" sqref="C3 B4:C18"/>
  </dataValidations>
  <pageMargins left="0.75" right="0.75" top="1" bottom="1" header="0.5" footer="0.5"/>
  <pageSetup paperSize="9" orientation="portrait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H30" sqref="H30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1129</v>
      </c>
      <c r="B1" s="2">
        <f>SUM(B3:B32)</f>
        <v>5127.2</v>
      </c>
      <c r="C1" s="3" cm="1">
        <f t="array" ref="C1">SUMPRODUCT(C3:C32*B3:B32)/B1</f>
        <v>162.609744109846</v>
      </c>
      <c r="D1" s="4" cm="1">
        <f t="array" ref="D1">SUMPRODUCT(B3:B32*D3:D32)/B1</f>
        <v>3.68822047121236</v>
      </c>
      <c r="E1" s="3" cm="1">
        <f t="array" ref="E1">SUMPRODUCT(B3:B32*E3:E32)/B1</f>
        <v>80.1161881728819</v>
      </c>
      <c r="F1" s="3" cm="1">
        <f t="array" ref="F1">SUMPRODUCT(B3:B32*F3:F32)/B1</f>
        <v>94.4870377594008</v>
      </c>
    </row>
    <row r="2" ht="16.5" spans="1:7">
      <c r="A2" s="5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54" t="s">
        <v>3096</v>
      </c>
      <c r="B3" s="9">
        <v>422.6</v>
      </c>
      <c r="C3" s="10">
        <v>164.7</v>
      </c>
      <c r="D3" s="11">
        <v>3.06</v>
      </c>
      <c r="E3" s="12">
        <v>87.5</v>
      </c>
      <c r="F3" s="12">
        <v>95.1</v>
      </c>
      <c r="G3" s="9">
        <v>24090007</v>
      </c>
    </row>
    <row r="4" ht="16.5" spans="1:7">
      <c r="A4" s="66" t="s">
        <v>3097</v>
      </c>
      <c r="B4" s="9">
        <v>293.6</v>
      </c>
      <c r="C4" s="10">
        <v>152.7</v>
      </c>
      <c r="D4" s="11">
        <v>4.06</v>
      </c>
      <c r="E4" s="12">
        <v>77.2</v>
      </c>
      <c r="F4" s="12">
        <v>93.2</v>
      </c>
      <c r="G4" s="9">
        <v>25040484</v>
      </c>
    </row>
    <row r="5" ht="16.5" spans="1:7">
      <c r="A5" s="79" t="s">
        <v>3098</v>
      </c>
      <c r="B5" s="9">
        <v>84.2</v>
      </c>
      <c r="C5" s="10">
        <v>157.8</v>
      </c>
      <c r="D5" s="11">
        <v>4.23</v>
      </c>
      <c r="E5" s="12">
        <v>74.7</v>
      </c>
      <c r="F5" s="12">
        <v>90.3</v>
      </c>
      <c r="G5" s="9">
        <v>25060018</v>
      </c>
    </row>
    <row r="6" ht="16.5" spans="1:7">
      <c r="A6" s="79" t="s">
        <v>3099</v>
      </c>
      <c r="B6" s="9">
        <v>717</v>
      </c>
      <c r="C6" s="10">
        <v>169</v>
      </c>
      <c r="D6" s="11">
        <v>4.08</v>
      </c>
      <c r="E6" s="12">
        <v>81.7</v>
      </c>
      <c r="F6" s="12">
        <v>95.6</v>
      </c>
      <c r="G6" s="9">
        <v>25060055</v>
      </c>
    </row>
    <row r="7" ht="16.5" spans="1:7">
      <c r="A7" s="66" t="s">
        <v>3100</v>
      </c>
      <c r="B7" s="9">
        <v>214.2</v>
      </c>
      <c r="C7" s="10">
        <v>191.3</v>
      </c>
      <c r="D7" s="11">
        <v>4.17</v>
      </c>
      <c r="E7" s="12">
        <v>80.6</v>
      </c>
      <c r="F7" s="12">
        <v>95</v>
      </c>
      <c r="G7" s="9">
        <v>25040417</v>
      </c>
    </row>
    <row r="8" ht="16.5" spans="1:7">
      <c r="A8" s="39" t="s">
        <v>3101</v>
      </c>
      <c r="B8" s="9">
        <v>360.4</v>
      </c>
      <c r="C8" s="10">
        <v>119.7</v>
      </c>
      <c r="D8" s="11">
        <v>2.99</v>
      </c>
      <c r="E8" s="12">
        <v>64.4</v>
      </c>
      <c r="F8" s="12">
        <v>88.7</v>
      </c>
      <c r="G8" s="56">
        <v>25020285</v>
      </c>
    </row>
    <row r="9" ht="16.5" spans="1:7">
      <c r="A9" s="54" t="s">
        <v>3102</v>
      </c>
      <c r="B9" s="9">
        <v>349</v>
      </c>
      <c r="C9" s="10">
        <v>111.3</v>
      </c>
      <c r="D9" s="11">
        <v>2.48</v>
      </c>
      <c r="E9" s="12">
        <v>82.7</v>
      </c>
      <c r="F9" s="12">
        <v>93.4</v>
      </c>
      <c r="G9" s="56">
        <v>24090011</v>
      </c>
    </row>
    <row r="10" ht="16.5" spans="1:7">
      <c r="A10" s="79" t="s">
        <v>3103</v>
      </c>
      <c r="B10" s="9">
        <v>858.8</v>
      </c>
      <c r="C10" s="10">
        <v>232.2</v>
      </c>
      <c r="D10" s="11">
        <v>4.52</v>
      </c>
      <c r="E10" s="12">
        <v>89.5</v>
      </c>
      <c r="F10" s="12">
        <v>98.1</v>
      </c>
      <c r="G10" s="56">
        <v>25060049</v>
      </c>
    </row>
    <row r="11" ht="16.5" spans="1:7">
      <c r="A11" s="79" t="s">
        <v>3104</v>
      </c>
      <c r="B11" s="9">
        <v>436.2</v>
      </c>
      <c r="C11" s="10">
        <v>129.5</v>
      </c>
      <c r="D11" s="11">
        <v>3.46</v>
      </c>
      <c r="E11" s="12">
        <v>78.4</v>
      </c>
      <c r="F11" s="12">
        <v>95.1</v>
      </c>
      <c r="G11" s="56">
        <v>25060021</v>
      </c>
    </row>
    <row r="12" ht="16.5" spans="1:7">
      <c r="A12" s="66" t="s">
        <v>3105</v>
      </c>
      <c r="B12" s="9">
        <v>482</v>
      </c>
      <c r="C12" s="10">
        <v>120.9</v>
      </c>
      <c r="D12" s="11">
        <v>3.09</v>
      </c>
      <c r="E12" s="12">
        <v>75.7</v>
      </c>
      <c r="F12" s="12">
        <v>92.8</v>
      </c>
      <c r="G12" s="9">
        <v>25040486</v>
      </c>
    </row>
    <row r="13" ht="16.5" spans="1:7">
      <c r="A13" s="66" t="s">
        <v>2575</v>
      </c>
      <c r="B13" s="9">
        <v>424</v>
      </c>
      <c r="C13" s="10">
        <v>206</v>
      </c>
      <c r="D13" s="11">
        <v>4.26</v>
      </c>
      <c r="E13" s="12">
        <v>81.8</v>
      </c>
      <c r="F13" s="12">
        <v>95.4</v>
      </c>
      <c r="G13" s="9">
        <v>25040416</v>
      </c>
    </row>
    <row r="14" ht="16.5" spans="1:7">
      <c r="A14" s="39" t="s">
        <v>3106</v>
      </c>
      <c r="B14" s="9">
        <v>485.2</v>
      </c>
      <c r="C14" s="10">
        <v>124.4</v>
      </c>
      <c r="D14" s="11">
        <v>3.34</v>
      </c>
      <c r="E14" s="12">
        <v>71.5</v>
      </c>
      <c r="F14" s="12">
        <v>92.6</v>
      </c>
      <c r="G14" s="9">
        <v>25030289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3 B5:B7 B9:B11 B13:B14 C4:C14"/>
  </dataValidations>
  <pageMargins left="0.75" right="0.75" top="1" bottom="1" header="0.5" footer="0.5"/>
  <pageSetup paperSize="9" orientation="portrait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workbookViewId="0">
      <selection activeCell="E29" sqref="E29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6" max="16" width="9.375"/>
  </cols>
  <sheetData>
    <row r="1" ht="16.5" spans="1:16">
      <c r="A1" s="1">
        <v>12001</v>
      </c>
      <c r="B1" s="2">
        <f>SUM(B3:B32)</f>
        <v>10093.8</v>
      </c>
      <c r="C1" s="3" cm="1">
        <f t="array" ref="C1">SUMPRODUCT(C3:C32*B3:B32)/B1</f>
        <v>268.301159127385</v>
      </c>
      <c r="D1" s="4" cm="1">
        <f t="array" ref="D1">SUMPRODUCT(B3:B32*D3:D32)/B1</f>
        <v>4.87102023024034</v>
      </c>
      <c r="E1" s="3" cm="1">
        <f t="array" ref="E1">SUMPRODUCT(B3:B32*E3:E32)/B1</f>
        <v>87.4443757554142</v>
      </c>
      <c r="F1" s="3" cm="1">
        <f t="array" ref="F1">SUMPRODUCT(B3:B32*F3:F32)/B1</f>
        <v>96.8550278388714</v>
      </c>
      <c r="J1" s="1">
        <v>12002</v>
      </c>
      <c r="K1" s="2">
        <f>SUM(K3:K32)</f>
        <v>10047.8</v>
      </c>
      <c r="L1" s="3" cm="1">
        <f t="array" ref="L1">SUMPRODUCT(L3:L32*K3:K32)/K1</f>
        <v>267.295788132726</v>
      </c>
      <c r="M1" s="4" cm="1">
        <f t="array" ref="M1">SUMPRODUCT(K3:K32*M3:M32)/K1</f>
        <v>4.86612233523757</v>
      </c>
      <c r="N1" s="3" cm="1">
        <f t="array" ref="N1">SUMPRODUCT(K3:K32*N3:N32)/K1</f>
        <v>85.9180755986385</v>
      </c>
      <c r="O1" s="3" cm="1">
        <f t="array" ref="O1">SUMPRODUCT(K3:K32*O3:O32)/K1</f>
        <v>96.1499671569896</v>
      </c>
    </row>
    <row r="2" ht="16.5" spans="1:16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5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</row>
    <row r="3" ht="16.5" spans="1:16">
      <c r="A3" s="64">
        <v>20250411</v>
      </c>
      <c r="B3" s="64">
        <v>500</v>
      </c>
      <c r="C3" s="64">
        <v>242.4</v>
      </c>
      <c r="D3" s="64">
        <v>4.84</v>
      </c>
      <c r="E3" s="64">
        <v>90.9</v>
      </c>
      <c r="F3" s="64">
        <v>96.6</v>
      </c>
      <c r="J3" s="58">
        <v>20250710</v>
      </c>
      <c r="K3" s="74">
        <v>3500</v>
      </c>
      <c r="L3" s="58">
        <v>245.1</v>
      </c>
      <c r="M3" s="58">
        <v>4.9</v>
      </c>
      <c r="N3" s="58">
        <v>81.1</v>
      </c>
      <c r="O3" s="58">
        <v>94.2</v>
      </c>
    </row>
    <row r="4" ht="16.5" spans="1:16">
      <c r="A4" s="58">
        <v>20250710</v>
      </c>
      <c r="B4" s="74">
        <v>3500</v>
      </c>
      <c r="C4" s="58">
        <v>245.1</v>
      </c>
      <c r="D4" s="58">
        <v>4.9</v>
      </c>
      <c r="E4" s="58">
        <v>81.1</v>
      </c>
      <c r="F4" s="58">
        <v>94.2</v>
      </c>
      <c r="J4" s="75" t="s">
        <v>3107</v>
      </c>
      <c r="K4" s="9">
        <v>532.6</v>
      </c>
      <c r="L4" s="10">
        <v>281.7</v>
      </c>
      <c r="M4" s="11">
        <v>4.97</v>
      </c>
      <c r="N4" s="12">
        <v>92.1</v>
      </c>
      <c r="O4" s="12">
        <v>98.7</v>
      </c>
      <c r="P4" s="34">
        <v>25010290</v>
      </c>
    </row>
    <row r="5" ht="16.5" spans="1:16">
      <c r="A5" s="75" t="s">
        <v>3108</v>
      </c>
      <c r="B5" s="9">
        <v>513.6</v>
      </c>
      <c r="C5" s="10">
        <v>282.3</v>
      </c>
      <c r="D5" s="11">
        <v>4.72</v>
      </c>
      <c r="E5" s="12">
        <v>91.2</v>
      </c>
      <c r="F5" s="12">
        <v>98.7</v>
      </c>
      <c r="G5" s="9">
        <v>25010595</v>
      </c>
      <c r="J5" s="75" t="s">
        <v>3109</v>
      </c>
      <c r="K5" s="9">
        <v>526.2</v>
      </c>
      <c r="L5" s="10">
        <v>285.5</v>
      </c>
      <c r="M5" s="11">
        <v>4.97</v>
      </c>
      <c r="N5" s="12">
        <v>92.1</v>
      </c>
      <c r="O5" s="12">
        <v>98.7</v>
      </c>
      <c r="P5" s="34">
        <v>25010289</v>
      </c>
    </row>
    <row r="6" ht="16.5" spans="1:16">
      <c r="A6" s="75" t="s">
        <v>3110</v>
      </c>
      <c r="B6" s="9">
        <v>313</v>
      </c>
      <c r="C6" s="10">
        <v>283.6</v>
      </c>
      <c r="D6" s="11">
        <v>4.69</v>
      </c>
      <c r="E6" s="12">
        <v>91.1</v>
      </c>
      <c r="F6" s="12">
        <v>98.8</v>
      </c>
      <c r="G6" s="9">
        <v>25020090</v>
      </c>
      <c r="J6" s="75" t="s">
        <v>3111</v>
      </c>
      <c r="K6" s="9">
        <v>446.4</v>
      </c>
      <c r="L6" s="10">
        <v>280.3</v>
      </c>
      <c r="M6" s="11">
        <v>4.8</v>
      </c>
      <c r="N6" s="12">
        <v>91.8</v>
      </c>
      <c r="O6" s="12">
        <v>99</v>
      </c>
      <c r="P6" s="34">
        <v>25010401</v>
      </c>
    </row>
    <row r="7" ht="16.5" spans="1:16">
      <c r="A7" s="75" t="s">
        <v>3112</v>
      </c>
      <c r="B7" s="9">
        <v>499</v>
      </c>
      <c r="C7" s="10">
        <v>283</v>
      </c>
      <c r="D7" s="11">
        <v>4.72</v>
      </c>
      <c r="E7" s="12">
        <v>92</v>
      </c>
      <c r="F7" s="12">
        <v>99.1</v>
      </c>
      <c r="G7" s="9">
        <v>25020180</v>
      </c>
      <c r="J7" s="75" t="s">
        <v>3113</v>
      </c>
      <c r="K7" s="9">
        <v>244</v>
      </c>
      <c r="L7" s="10">
        <v>280</v>
      </c>
      <c r="M7" s="11">
        <v>4.66</v>
      </c>
      <c r="N7" s="12">
        <v>84.7</v>
      </c>
      <c r="O7" s="12">
        <v>95.6</v>
      </c>
      <c r="P7" s="9">
        <v>25020176</v>
      </c>
    </row>
    <row r="8" ht="16.5" spans="1:16">
      <c r="A8" s="75" t="s">
        <v>3114</v>
      </c>
      <c r="B8" s="9">
        <v>493</v>
      </c>
      <c r="C8" s="10">
        <v>281.1</v>
      </c>
      <c r="D8" s="11">
        <v>4.97</v>
      </c>
      <c r="E8" s="12">
        <v>91.8</v>
      </c>
      <c r="F8" s="12">
        <v>99.1</v>
      </c>
      <c r="G8" s="9">
        <v>25020209</v>
      </c>
      <c r="J8" s="75" t="s">
        <v>3115</v>
      </c>
      <c r="K8" s="9">
        <v>436</v>
      </c>
      <c r="L8" s="10">
        <v>285.8</v>
      </c>
      <c r="M8" s="11">
        <v>4.75</v>
      </c>
      <c r="N8" s="12">
        <v>88.6</v>
      </c>
      <c r="O8" s="12">
        <v>97.6</v>
      </c>
      <c r="P8" s="9">
        <v>25020206</v>
      </c>
    </row>
    <row r="9" ht="16.5" spans="1:16">
      <c r="A9" s="75" t="s">
        <v>3116</v>
      </c>
      <c r="B9" s="9">
        <v>473.4</v>
      </c>
      <c r="C9" s="10">
        <v>284.9</v>
      </c>
      <c r="D9" s="11">
        <v>4.89</v>
      </c>
      <c r="E9" s="12">
        <v>91.6</v>
      </c>
      <c r="F9" s="12">
        <v>99</v>
      </c>
      <c r="G9" s="9">
        <v>25020207</v>
      </c>
      <c r="J9" s="75" t="s">
        <v>3117</v>
      </c>
      <c r="K9" s="9">
        <v>233.8</v>
      </c>
      <c r="L9" s="10">
        <v>286.6</v>
      </c>
      <c r="M9" s="11">
        <v>4.8</v>
      </c>
      <c r="N9" s="12">
        <v>87.9</v>
      </c>
      <c r="O9" s="12">
        <v>97.3</v>
      </c>
      <c r="P9" s="9">
        <v>25020204</v>
      </c>
    </row>
    <row r="10" ht="16.5" spans="1:16">
      <c r="A10" s="75" t="s">
        <v>3118</v>
      </c>
      <c r="B10" s="9">
        <v>504.4</v>
      </c>
      <c r="C10" s="10">
        <v>280.3</v>
      </c>
      <c r="D10" s="11">
        <v>4.97</v>
      </c>
      <c r="E10" s="12">
        <v>91.8</v>
      </c>
      <c r="F10" s="12">
        <v>98.5</v>
      </c>
      <c r="G10" s="9">
        <v>25020323</v>
      </c>
      <c r="J10" s="75" t="s">
        <v>3119</v>
      </c>
      <c r="K10" s="9">
        <v>518.4</v>
      </c>
      <c r="L10" s="10">
        <v>288.8</v>
      </c>
      <c r="M10" s="11">
        <v>4.77</v>
      </c>
      <c r="N10" s="12">
        <v>88.4</v>
      </c>
      <c r="O10" s="12">
        <v>97.5</v>
      </c>
      <c r="P10" s="9">
        <v>25020205</v>
      </c>
    </row>
    <row r="11" ht="16.5" spans="1:16">
      <c r="A11" s="75" t="s">
        <v>3120</v>
      </c>
      <c r="B11" s="9">
        <v>512.2</v>
      </c>
      <c r="C11" s="10">
        <v>282.2</v>
      </c>
      <c r="D11" s="11">
        <v>4.97</v>
      </c>
      <c r="E11" s="12">
        <v>92.4</v>
      </c>
      <c r="F11" s="12">
        <v>98.8</v>
      </c>
      <c r="G11" s="9">
        <v>25020325</v>
      </c>
      <c r="J11" s="75" t="s">
        <v>3121</v>
      </c>
      <c r="K11" s="9">
        <v>478.4</v>
      </c>
      <c r="L11" s="10">
        <v>280.3</v>
      </c>
      <c r="M11" s="11">
        <v>4.8</v>
      </c>
      <c r="N11" s="12">
        <v>90.7</v>
      </c>
      <c r="O11" s="12">
        <v>98.4</v>
      </c>
      <c r="P11" s="9">
        <v>25020409</v>
      </c>
    </row>
    <row r="12" ht="16.5" spans="1:16">
      <c r="A12" s="75" t="s">
        <v>3122</v>
      </c>
      <c r="B12" s="9">
        <v>429.6</v>
      </c>
      <c r="C12" s="10">
        <v>286.8</v>
      </c>
      <c r="D12" s="11">
        <v>4.86</v>
      </c>
      <c r="E12" s="12">
        <v>91.9</v>
      </c>
      <c r="F12" s="12">
        <v>99.1</v>
      </c>
      <c r="G12" s="9">
        <v>25010400</v>
      </c>
      <c r="J12" s="75" t="s">
        <v>3123</v>
      </c>
      <c r="K12" s="9">
        <v>606</v>
      </c>
      <c r="L12" s="10">
        <v>294.3</v>
      </c>
      <c r="M12" s="11">
        <v>4.8</v>
      </c>
      <c r="N12" s="12">
        <v>88.1</v>
      </c>
      <c r="O12" s="12">
        <v>96.8</v>
      </c>
      <c r="P12" s="9">
        <v>25100013</v>
      </c>
    </row>
    <row r="13" ht="16.5" spans="1:16">
      <c r="A13" s="75" t="s">
        <v>3124</v>
      </c>
      <c r="B13" s="9">
        <v>259.2</v>
      </c>
      <c r="C13" s="10">
        <v>281.1</v>
      </c>
      <c r="D13" s="11">
        <v>4.86</v>
      </c>
      <c r="E13" s="12">
        <v>91.7</v>
      </c>
      <c r="F13" s="12">
        <v>98.5</v>
      </c>
      <c r="G13" s="9">
        <v>25010480</v>
      </c>
      <c r="J13" s="75" t="s">
        <v>3125</v>
      </c>
      <c r="K13" s="9">
        <v>667.4</v>
      </c>
      <c r="L13" s="10">
        <v>289.4</v>
      </c>
      <c r="M13" s="11">
        <v>4.89</v>
      </c>
      <c r="N13" s="12">
        <v>88.2</v>
      </c>
      <c r="O13" s="12">
        <v>96.6</v>
      </c>
      <c r="P13" s="9">
        <v>25100061</v>
      </c>
    </row>
    <row r="14" ht="16.5" spans="1:16">
      <c r="A14" s="75" t="s">
        <v>799</v>
      </c>
      <c r="B14" s="9">
        <v>732.2</v>
      </c>
      <c r="C14" s="10">
        <v>285.8</v>
      </c>
      <c r="D14" s="11">
        <v>4.86</v>
      </c>
      <c r="E14" s="12">
        <v>91.3</v>
      </c>
      <c r="F14" s="12">
        <v>98.6</v>
      </c>
      <c r="G14" s="9">
        <v>25030078</v>
      </c>
      <c r="J14" s="8" t="s">
        <v>3126</v>
      </c>
      <c r="K14" s="9">
        <v>592</v>
      </c>
      <c r="L14" s="10">
        <v>282</v>
      </c>
      <c r="M14" s="11">
        <v>4.82</v>
      </c>
      <c r="N14" s="12">
        <v>92</v>
      </c>
      <c r="O14" s="12">
        <v>98.4</v>
      </c>
      <c r="P14" s="9">
        <v>25110003</v>
      </c>
    </row>
    <row r="15" ht="16.5" spans="1:16">
      <c r="A15" s="39" t="s">
        <v>3127</v>
      </c>
      <c r="B15" s="9">
        <v>480.4</v>
      </c>
      <c r="C15" s="10">
        <v>280.8</v>
      </c>
      <c r="D15" s="11">
        <v>4.94</v>
      </c>
      <c r="E15" s="12">
        <v>91.5</v>
      </c>
      <c r="F15" s="12">
        <v>98.6</v>
      </c>
      <c r="G15" s="9">
        <v>25020376</v>
      </c>
      <c r="J15" s="8" t="s">
        <v>3128</v>
      </c>
      <c r="K15" s="9">
        <v>266.6</v>
      </c>
      <c r="L15" s="10">
        <v>282.5</v>
      </c>
      <c r="M15" s="11">
        <v>4.89</v>
      </c>
      <c r="N15" s="12">
        <v>92.5</v>
      </c>
      <c r="O15" s="12">
        <v>98.9</v>
      </c>
      <c r="P15" s="9">
        <v>25110004</v>
      </c>
    </row>
    <row r="16" ht="16.5" spans="1:16">
      <c r="A16" s="54" t="s">
        <v>3129</v>
      </c>
      <c r="B16" s="9">
        <v>527.4</v>
      </c>
      <c r="C16" s="10">
        <v>291.4</v>
      </c>
      <c r="D16" s="11">
        <v>4.82</v>
      </c>
      <c r="E16" s="12">
        <v>83.4</v>
      </c>
      <c r="F16" s="12">
        <v>94.8</v>
      </c>
      <c r="G16" s="9">
        <v>25100014</v>
      </c>
      <c r="J16" s="76">
        <v>20250604</v>
      </c>
      <c r="K16" s="77">
        <v>1000</v>
      </c>
      <c r="L16" s="76">
        <v>245</v>
      </c>
      <c r="M16" s="76">
        <v>4.91</v>
      </c>
      <c r="N16" s="76">
        <v>80.5</v>
      </c>
      <c r="O16" s="76">
        <v>93.7</v>
      </c>
    </row>
    <row r="17" ht="16.5" spans="1:7">
      <c r="A17" s="39" t="s">
        <v>3130</v>
      </c>
      <c r="B17" s="9">
        <v>356.4</v>
      </c>
      <c r="C17" s="10">
        <v>283</v>
      </c>
      <c r="D17" s="11">
        <v>4.8</v>
      </c>
      <c r="E17" s="12">
        <v>89.2</v>
      </c>
      <c r="F17" s="12">
        <v>97.9</v>
      </c>
      <c r="G17" s="9">
        <v>25020355</v>
      </c>
    </row>
    <row r="35" ht="16.5" spans="1:7">
      <c r="A35" s="1">
        <v>12003</v>
      </c>
      <c r="B35" s="2">
        <f>SUM(B37:B66)</f>
        <v>5030</v>
      </c>
      <c r="C35" s="3" cm="1">
        <f t="array" ref="C35">SUMPRODUCT(C37:C66*B37:B66)/B35</f>
        <v>268.426361829026</v>
      </c>
      <c r="D35" s="4" cm="1">
        <f t="array" ref="D35">SUMPRODUCT(B37:B66*D37:D66)/B35</f>
        <v>4.8774226640159</v>
      </c>
      <c r="E35" s="3" cm="1">
        <f t="array" ref="E35">SUMPRODUCT(B37:B66*E37:E66)/B35</f>
        <v>88.9918290258449</v>
      </c>
      <c r="F35" s="3" cm="1">
        <f t="array" ref="F35">SUMPRODUCT(B37:B66*F37:F66)/B35</f>
        <v>97.5185765407555</v>
      </c>
    </row>
    <row r="36" ht="16.5" spans="1:7">
      <c r="A36" s="5"/>
      <c r="B36" s="6" t="s">
        <v>0</v>
      </c>
      <c r="C36" s="6" t="s">
        <v>1</v>
      </c>
      <c r="D36" s="6" t="s">
        <v>2</v>
      </c>
      <c r="E36" s="6" t="s">
        <v>3</v>
      </c>
      <c r="F36" s="6" t="s">
        <v>4</v>
      </c>
    </row>
    <row r="37" ht="16.5" spans="1:7">
      <c r="A37" s="65">
        <v>2510003</v>
      </c>
      <c r="B37" s="78">
        <v>2000</v>
      </c>
      <c r="C37" s="65">
        <v>262.3</v>
      </c>
      <c r="D37" s="65">
        <v>4.75</v>
      </c>
      <c r="E37" s="5">
        <v>85.8</v>
      </c>
      <c r="F37" s="5">
        <v>96.4</v>
      </c>
    </row>
    <row r="38" ht="16.5" spans="1:7">
      <c r="A38" s="75" t="s">
        <v>3131</v>
      </c>
      <c r="B38" s="9">
        <v>508.4</v>
      </c>
      <c r="C38" s="10">
        <v>271</v>
      </c>
      <c r="D38" s="11">
        <v>4.94</v>
      </c>
      <c r="E38" s="12">
        <v>92</v>
      </c>
      <c r="F38" s="12">
        <v>99</v>
      </c>
      <c r="G38" s="9">
        <v>25010151</v>
      </c>
    </row>
    <row r="39" ht="16.5" spans="1:7">
      <c r="A39" s="75" t="s">
        <v>3132</v>
      </c>
      <c r="B39" s="9">
        <v>531.6</v>
      </c>
      <c r="C39" s="10">
        <v>268.3</v>
      </c>
      <c r="D39" s="11">
        <v>4.89</v>
      </c>
      <c r="E39" s="12">
        <v>89.8</v>
      </c>
      <c r="F39" s="12">
        <v>97.4</v>
      </c>
      <c r="G39" s="9">
        <v>25010343</v>
      </c>
    </row>
    <row r="40" ht="16.5" spans="1:7">
      <c r="A40" s="75" t="s">
        <v>3133</v>
      </c>
      <c r="B40" s="9">
        <v>526.8</v>
      </c>
      <c r="C40" s="10">
        <v>274.7</v>
      </c>
      <c r="D40" s="11">
        <v>4.89</v>
      </c>
      <c r="E40" s="12">
        <v>91.1</v>
      </c>
      <c r="F40" s="12">
        <v>98.3</v>
      </c>
      <c r="G40" s="9">
        <v>25010347</v>
      </c>
    </row>
    <row r="41" ht="16.5" spans="1:7">
      <c r="A41" s="75" t="s">
        <v>3134</v>
      </c>
      <c r="B41" s="9">
        <v>514.4</v>
      </c>
      <c r="C41" s="10">
        <v>270.4</v>
      </c>
      <c r="D41" s="11">
        <v>4.97</v>
      </c>
      <c r="E41" s="12">
        <v>90.7</v>
      </c>
      <c r="F41" s="12">
        <v>98.1</v>
      </c>
      <c r="G41" s="9">
        <v>25010346</v>
      </c>
    </row>
    <row r="42" ht="16.5" spans="1:7">
      <c r="A42" s="39" t="s">
        <v>3135</v>
      </c>
      <c r="B42" s="9">
        <v>501.8</v>
      </c>
      <c r="C42" s="10">
        <v>273.5</v>
      </c>
      <c r="D42" s="11">
        <v>5.02</v>
      </c>
      <c r="E42" s="12">
        <v>91.7</v>
      </c>
      <c r="F42" s="12">
        <v>98.4</v>
      </c>
      <c r="G42" s="9">
        <v>25010485</v>
      </c>
    </row>
    <row r="43" ht="16.5" spans="1:7">
      <c r="A43" s="39" t="s">
        <v>3136</v>
      </c>
      <c r="B43" s="9">
        <v>447</v>
      </c>
      <c r="C43" s="10">
        <v>277.7</v>
      </c>
      <c r="D43" s="11">
        <v>5.08</v>
      </c>
      <c r="E43" s="12">
        <v>91.4</v>
      </c>
      <c r="F43" s="12">
        <v>98.4</v>
      </c>
      <c r="G43" s="9">
        <v>25020381</v>
      </c>
    </row>
  </sheetData>
  <conditionalFormatting sqref="A1:A2">
    <cfRule type="duplicateValues" dxfId="0" priority="4"/>
  </conditionalFormatting>
  <conditionalFormatting sqref="A35:A36">
    <cfRule type="duplicateValues" dxfId="0" priority="1"/>
  </conditionalFormatting>
  <conditionalFormatting sqref="J1:J2">
    <cfRule type="duplicateValues" dxfId="0" priority="3"/>
  </conditionalFormatting>
  <dataValidations count="1">
    <dataValidation allowBlank="1" showInputMessage="1" showErrorMessage="1" sqref="L11 C37 B38:C38 C39:C41 B42:C43 K4:L10 B5:C17 K12:L15"/>
  </dataValidations>
  <pageMargins left="0.75" right="0.75" top="1" bottom="1" header="0.5" footer="0.5"/>
  <pageSetup paperSize="9" orientation="portrait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B3" sqref="B3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1202</v>
      </c>
      <c r="B1" s="2">
        <f>SUM(B3:B29)</f>
        <v>10029</v>
      </c>
      <c r="C1" s="3" cm="1">
        <f t="array" ref="C1">SUMPRODUCT(C3:C29*B3:B29)/B1</f>
        <v>210.297347691694</v>
      </c>
      <c r="D1" s="4" cm="1">
        <f t="array" ref="D1">SUMPRODUCT(B3:B29*D3:D29)/B1</f>
        <v>4.88369927211088</v>
      </c>
      <c r="E1" s="3" cm="1">
        <f t="array" ref="E1">SUMPRODUCT(B3:B29*E3:E29)/B1</f>
        <v>84.4503739156446</v>
      </c>
      <c r="F1" s="3" cm="1">
        <f t="array" ref="F1">SUMPRODUCT(B3:B29*F3:F29)/B1</f>
        <v>96.0204905773257</v>
      </c>
    </row>
    <row r="2" ht="16.5" spans="1:7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72">
        <v>20250909</v>
      </c>
      <c r="B3" s="73">
        <v>4000</v>
      </c>
      <c r="C3" s="72">
        <v>205.9</v>
      </c>
      <c r="D3" s="72">
        <v>4.87</v>
      </c>
      <c r="E3" s="72">
        <v>85.5</v>
      </c>
      <c r="F3" s="72">
        <v>97.3</v>
      </c>
    </row>
    <row r="4" ht="16.5" spans="1:7">
      <c r="A4" s="13" t="s">
        <v>3137</v>
      </c>
      <c r="B4" s="14">
        <v>551.6</v>
      </c>
      <c r="C4" s="15">
        <v>227.7</v>
      </c>
      <c r="D4" s="16">
        <v>5.33</v>
      </c>
      <c r="E4" s="17">
        <v>80.5</v>
      </c>
      <c r="F4" s="17">
        <v>93.5</v>
      </c>
      <c r="G4" s="14">
        <v>25110041</v>
      </c>
    </row>
    <row r="5" ht="16.5" spans="1:7">
      <c r="A5" s="13" t="s">
        <v>3138</v>
      </c>
      <c r="B5" s="14">
        <v>529.6</v>
      </c>
      <c r="C5" s="15">
        <v>220.5</v>
      </c>
      <c r="D5" s="16">
        <v>5.16</v>
      </c>
      <c r="E5" s="17">
        <v>80.1</v>
      </c>
      <c r="F5" s="17">
        <v>93.4</v>
      </c>
      <c r="G5" s="14">
        <v>25110042</v>
      </c>
    </row>
    <row r="6" ht="16.5" spans="1:7">
      <c r="A6" s="13" t="s">
        <v>3139</v>
      </c>
      <c r="B6" s="14">
        <v>595.6</v>
      </c>
      <c r="C6" s="15">
        <v>222.5</v>
      </c>
      <c r="D6" s="16">
        <v>5.24</v>
      </c>
      <c r="E6" s="17">
        <v>88.2</v>
      </c>
      <c r="F6" s="17">
        <v>97.1</v>
      </c>
      <c r="G6" s="14">
        <v>25110023</v>
      </c>
    </row>
    <row r="7" ht="16.5" spans="1:7">
      <c r="A7" s="13" t="s">
        <v>3140</v>
      </c>
      <c r="B7" s="14">
        <v>590.4</v>
      </c>
      <c r="C7" s="15">
        <v>215.9</v>
      </c>
      <c r="D7" s="16">
        <v>5.11</v>
      </c>
      <c r="E7" s="17">
        <v>88.3</v>
      </c>
      <c r="F7" s="17">
        <v>97.4</v>
      </c>
      <c r="G7" s="14">
        <v>25110024</v>
      </c>
    </row>
    <row r="8" ht="16.5" spans="1:7">
      <c r="A8" s="13" t="s">
        <v>3141</v>
      </c>
      <c r="B8" s="14">
        <v>203.2</v>
      </c>
      <c r="C8" s="15">
        <v>189.7</v>
      </c>
      <c r="D8" s="16">
        <v>4.52</v>
      </c>
      <c r="E8" s="17">
        <v>89.9</v>
      </c>
      <c r="F8" s="17">
        <v>98.4</v>
      </c>
      <c r="G8" s="14">
        <v>25110025</v>
      </c>
    </row>
    <row r="9" ht="16.5" spans="1:7">
      <c r="A9" s="13" t="s">
        <v>3142</v>
      </c>
      <c r="B9" s="14">
        <v>555.8</v>
      </c>
      <c r="C9" s="15">
        <v>179.3</v>
      </c>
      <c r="D9" s="16">
        <v>4.26</v>
      </c>
      <c r="E9" s="17">
        <v>90</v>
      </c>
      <c r="F9" s="17">
        <v>98.6</v>
      </c>
      <c r="G9" s="14">
        <v>25110026</v>
      </c>
    </row>
    <row r="10" ht="16.5" spans="1:7">
      <c r="A10" s="13" t="s">
        <v>3143</v>
      </c>
      <c r="B10" s="14">
        <v>527.8</v>
      </c>
      <c r="C10" s="15">
        <v>180.9</v>
      </c>
      <c r="D10" s="16">
        <v>4.34</v>
      </c>
      <c r="E10" s="17">
        <v>89.9</v>
      </c>
      <c r="F10" s="17">
        <v>98.6</v>
      </c>
      <c r="G10" s="14">
        <v>25110027</v>
      </c>
    </row>
    <row r="11" ht="16.5" spans="1:7">
      <c r="A11" s="13" t="s">
        <v>3144</v>
      </c>
      <c r="B11" s="14">
        <v>450.6</v>
      </c>
      <c r="C11" s="15">
        <v>191.1</v>
      </c>
      <c r="D11" s="16">
        <v>4.26</v>
      </c>
      <c r="E11" s="17">
        <v>75.3</v>
      </c>
      <c r="F11" s="17">
        <v>90.7</v>
      </c>
      <c r="G11" s="14">
        <v>25110061</v>
      </c>
    </row>
    <row r="12" ht="16.5" spans="1:7">
      <c r="A12" s="13" t="s">
        <v>3145</v>
      </c>
      <c r="B12" s="14">
        <v>256.8</v>
      </c>
      <c r="C12" s="15">
        <v>185</v>
      </c>
      <c r="D12" s="16">
        <v>4.17</v>
      </c>
      <c r="E12" s="17">
        <v>74.6</v>
      </c>
      <c r="F12" s="17">
        <v>90.5</v>
      </c>
      <c r="G12" s="14">
        <v>25110062</v>
      </c>
    </row>
    <row r="13" ht="16.5" spans="1:7">
      <c r="A13" s="13" t="s">
        <v>3146</v>
      </c>
      <c r="B13" s="14">
        <v>605.4</v>
      </c>
      <c r="C13" s="15">
        <v>183.8</v>
      </c>
      <c r="D13" s="16">
        <v>4.2</v>
      </c>
      <c r="E13" s="17">
        <v>74.2</v>
      </c>
      <c r="F13" s="17">
        <v>90</v>
      </c>
      <c r="G13" s="14">
        <v>25110063</v>
      </c>
    </row>
    <row r="14" ht="16.5" spans="1:7">
      <c r="A14" s="13" t="s">
        <v>3147</v>
      </c>
      <c r="B14" s="14">
        <v>590.2</v>
      </c>
      <c r="C14" s="15">
        <v>264.2</v>
      </c>
      <c r="D14" s="16">
        <v>5.66</v>
      </c>
      <c r="E14" s="17">
        <v>85.8</v>
      </c>
      <c r="F14" s="17">
        <v>96.4</v>
      </c>
      <c r="G14" s="14">
        <v>25110010</v>
      </c>
    </row>
    <row r="15" ht="16.5" spans="1:7">
      <c r="A15" s="13" t="s">
        <v>3148</v>
      </c>
      <c r="B15" s="14">
        <v>572</v>
      </c>
      <c r="C15" s="15">
        <v>259.8</v>
      </c>
      <c r="D15" s="16">
        <v>5.66</v>
      </c>
      <c r="E15" s="17">
        <v>85.8</v>
      </c>
      <c r="F15" s="17">
        <v>96.3</v>
      </c>
      <c r="G15" s="14">
        <v>25110011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C3 B4:C15"/>
  </dataValidations>
  <pageMargins left="0.75" right="0.75" top="1" bottom="1" header="0.5" footer="0.5"/>
  <pageSetup paperSize="9" orientation="portrait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M14" sqref="M14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1203</v>
      </c>
      <c r="B1" s="2">
        <f>SUM(B3:B29)</f>
        <v>10169.6</v>
      </c>
      <c r="C1" s="3" cm="1">
        <f t="array" ref="C1">SUMPRODUCT(C3:C29*B3:B29)/B1</f>
        <v>210.942328115167</v>
      </c>
      <c r="D1" s="4" cm="1">
        <f t="array" ref="D1">SUMPRODUCT(B3:B29*D3:D29)/B1</f>
        <v>4.88788664254248</v>
      </c>
      <c r="E1" s="3" cm="1">
        <f t="array" ref="E1">SUMPRODUCT(B3:B29*E3:E29)/B1</f>
        <v>81.706275566394</v>
      </c>
      <c r="F1" s="3" cm="1">
        <f t="array" ref="F1">SUMPRODUCT(B3:B29*F3:F29)/B1</f>
        <v>94.4484227501573</v>
      </c>
    </row>
    <row r="2" ht="16.5" spans="1:7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8" t="s">
        <v>3149</v>
      </c>
      <c r="B3" s="9">
        <v>524.4</v>
      </c>
      <c r="C3" s="10">
        <v>258.2</v>
      </c>
      <c r="D3" s="11">
        <v>5.44</v>
      </c>
      <c r="E3" s="12">
        <v>84.4</v>
      </c>
      <c r="F3" s="12">
        <v>94.9</v>
      </c>
      <c r="G3" s="71">
        <v>25120058</v>
      </c>
    </row>
    <row r="4" ht="16.5" spans="1:7">
      <c r="A4" s="8" t="s">
        <v>3150</v>
      </c>
      <c r="B4" s="9">
        <v>498.8</v>
      </c>
      <c r="C4" s="10">
        <v>247.1</v>
      </c>
      <c r="D4" s="11">
        <v>5.3</v>
      </c>
      <c r="E4" s="12">
        <v>76.7</v>
      </c>
      <c r="F4" s="12">
        <v>91.2</v>
      </c>
      <c r="G4" s="71">
        <v>25120040</v>
      </c>
    </row>
    <row r="5" ht="16.5" spans="1:7">
      <c r="A5" s="8" t="s">
        <v>3151</v>
      </c>
      <c r="B5" s="9">
        <v>428.2</v>
      </c>
      <c r="C5" s="10">
        <v>241</v>
      </c>
      <c r="D5" s="11">
        <v>5.24</v>
      </c>
      <c r="E5" s="12">
        <v>75.8</v>
      </c>
      <c r="F5" s="12">
        <v>90.6</v>
      </c>
      <c r="G5" s="71">
        <v>25120041</v>
      </c>
    </row>
    <row r="6" ht="16.5" spans="1:7">
      <c r="A6" s="8" t="s">
        <v>3152</v>
      </c>
      <c r="B6" s="9">
        <v>546.2</v>
      </c>
      <c r="C6" s="10">
        <v>236.1</v>
      </c>
      <c r="D6" s="11">
        <v>5.13</v>
      </c>
      <c r="E6" s="12">
        <v>79.6</v>
      </c>
      <c r="F6" s="12">
        <v>91.9</v>
      </c>
      <c r="G6" s="71">
        <v>25120019</v>
      </c>
    </row>
    <row r="7" ht="16.5" spans="1:7">
      <c r="A7" s="8" t="s">
        <v>3153</v>
      </c>
      <c r="B7" s="9">
        <v>491.6</v>
      </c>
      <c r="C7" s="10">
        <v>199</v>
      </c>
      <c r="D7" s="11">
        <v>5.16</v>
      </c>
      <c r="E7" s="12">
        <v>70</v>
      </c>
      <c r="F7" s="12">
        <v>88.1</v>
      </c>
      <c r="G7" s="71">
        <v>25120062</v>
      </c>
    </row>
    <row r="8" ht="16.5" spans="1:7">
      <c r="A8" s="8" t="s">
        <v>3154</v>
      </c>
      <c r="B8" s="9">
        <v>366.2</v>
      </c>
      <c r="C8" s="10">
        <v>154.1</v>
      </c>
      <c r="D8" s="11">
        <v>3.73</v>
      </c>
      <c r="E8" s="12">
        <v>81.1</v>
      </c>
      <c r="F8" s="12">
        <v>94</v>
      </c>
      <c r="G8" s="71">
        <v>25120063</v>
      </c>
    </row>
    <row r="9" ht="16.5" spans="1:7">
      <c r="A9" s="72">
        <v>20250909</v>
      </c>
      <c r="B9" s="73">
        <v>2000</v>
      </c>
      <c r="C9" s="72">
        <v>205.9</v>
      </c>
      <c r="D9" s="72">
        <v>4.87</v>
      </c>
      <c r="E9" s="72">
        <v>85.5</v>
      </c>
      <c r="F9" s="72">
        <v>97.3</v>
      </c>
    </row>
    <row r="10" ht="16.5" spans="1:7">
      <c r="A10" s="8" t="s">
        <v>3155</v>
      </c>
      <c r="B10" s="9">
        <v>586.8</v>
      </c>
      <c r="C10" s="10">
        <v>259</v>
      </c>
      <c r="D10" s="11">
        <v>5.44</v>
      </c>
      <c r="E10" s="12">
        <v>84.5</v>
      </c>
      <c r="F10" s="12">
        <v>95.1</v>
      </c>
      <c r="G10" s="71">
        <v>25120057</v>
      </c>
    </row>
    <row r="11" ht="16.5" spans="1:7">
      <c r="A11" s="8" t="s">
        <v>3156</v>
      </c>
      <c r="B11" s="9">
        <v>532.6</v>
      </c>
      <c r="C11" s="10">
        <v>191.8</v>
      </c>
      <c r="D11" s="11">
        <v>4.46</v>
      </c>
      <c r="E11" s="12">
        <v>80.3</v>
      </c>
      <c r="F11" s="12">
        <v>93.2</v>
      </c>
      <c r="G11" s="71">
        <v>25120084</v>
      </c>
    </row>
    <row r="12" ht="16.5" spans="1:7">
      <c r="A12" s="8" t="s">
        <v>3157</v>
      </c>
      <c r="B12" s="9">
        <v>513</v>
      </c>
      <c r="C12" s="10">
        <v>211.7</v>
      </c>
      <c r="D12" s="11">
        <v>5.27</v>
      </c>
      <c r="E12" s="12">
        <v>72.7</v>
      </c>
      <c r="F12" s="12">
        <v>89.3</v>
      </c>
      <c r="G12" s="71">
        <v>25120061</v>
      </c>
    </row>
    <row r="13" ht="16.5" spans="1:7">
      <c r="A13" s="72">
        <v>20250909</v>
      </c>
      <c r="B13" s="73">
        <v>2000</v>
      </c>
      <c r="C13" s="72">
        <v>205.9</v>
      </c>
      <c r="D13" s="72">
        <v>4.87</v>
      </c>
      <c r="E13" s="72">
        <v>85.5</v>
      </c>
      <c r="F13" s="72">
        <v>97.3</v>
      </c>
    </row>
    <row r="14" ht="16.5" spans="1:7">
      <c r="A14" s="8" t="s">
        <v>3158</v>
      </c>
      <c r="B14" s="9">
        <v>534.4</v>
      </c>
      <c r="C14" s="10">
        <v>166.8</v>
      </c>
      <c r="D14" s="11">
        <v>3.99</v>
      </c>
      <c r="E14" s="12">
        <v>82</v>
      </c>
      <c r="F14" s="12">
        <v>94.2</v>
      </c>
      <c r="G14" s="71">
        <v>25120023</v>
      </c>
    </row>
    <row r="15" ht="16.5" spans="1:7">
      <c r="A15" s="8" t="s">
        <v>3159</v>
      </c>
      <c r="B15" s="9">
        <v>606.8</v>
      </c>
      <c r="C15" s="10">
        <v>242.3</v>
      </c>
      <c r="D15" s="11">
        <v>5.81</v>
      </c>
      <c r="E15" s="12">
        <v>78.6</v>
      </c>
      <c r="F15" s="12">
        <v>92.9</v>
      </c>
      <c r="G15" s="71">
        <v>25120060</v>
      </c>
    </row>
    <row r="16" ht="16.5" spans="1:7">
      <c r="A16" s="8" t="s">
        <v>3160</v>
      </c>
      <c r="B16" s="9">
        <v>540.6</v>
      </c>
      <c r="C16" s="10">
        <v>143.6</v>
      </c>
      <c r="D16" s="11">
        <v>3.43</v>
      </c>
      <c r="E16" s="12">
        <v>83.6</v>
      </c>
      <c r="F16" s="12">
        <v>95</v>
      </c>
      <c r="G16" s="71">
        <v>25120064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 C9 B10 B11:C11 B12 C13 B14:C14 B7:B8 B15:B16 B4:C6"/>
  </dataValidations>
  <pageMargins left="0.75" right="0.75" top="1" bottom="1" header="0.5" footer="0.5"/>
  <pageSetup paperSize="9" orientation="portrait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M16" sqref="M16"/>
    </sheetView>
  </sheetViews>
  <sheetFormatPr defaultColWidth="9" defaultRowHeight="13.5" outlineLevelCol="7"/>
  <cols>
    <col min="1" max="1" width="15.625" customWidth="1"/>
  </cols>
  <sheetData>
    <row r="1" ht="16.5" spans="1:8">
      <c r="A1" s="1">
        <v>1204</v>
      </c>
      <c r="B1" s="2">
        <f>SUM(B3:B32)</f>
        <v>4151</v>
      </c>
      <c r="C1" s="3" cm="1">
        <f t="array" ref="C1">SUMPRODUCT(C3:C32*B3:B32)/B1</f>
        <v>176.807655986509</v>
      </c>
      <c r="D1" s="4" cm="1">
        <f t="array" ref="D1">SUMPRODUCT(B3:B32*D3:D32)/B1</f>
        <v>3.94751867019995</v>
      </c>
      <c r="E1" s="3" cm="1">
        <f t="array" ref="E1">SUMPRODUCT(B3:B32*E3:E32)/B1</f>
        <v>83.0241773066731</v>
      </c>
      <c r="F1" s="3" cm="1">
        <f t="array" ref="F1">SUMPRODUCT(B3:B32*F3:F32)/B1</f>
        <v>95.2160491447844</v>
      </c>
      <c r="G1" s="3" cm="1">
        <f t="array" ref="G1">SUMPRODUCT(B3:B32*G3:G32)/B1</f>
        <v>11.620528547338</v>
      </c>
    </row>
    <row r="2" ht="16.5" spans="1:8">
      <c r="A2" s="5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54" t="s">
        <v>3161</v>
      </c>
      <c r="B3" s="9">
        <v>432</v>
      </c>
      <c r="C3" s="10">
        <v>105.3</v>
      </c>
      <c r="D3" s="11">
        <v>2.41</v>
      </c>
      <c r="E3" s="12">
        <v>74.7</v>
      </c>
      <c r="F3" s="12">
        <v>89.4</v>
      </c>
      <c r="G3" s="8">
        <v>11.01</v>
      </c>
      <c r="H3" s="71">
        <v>24090038</v>
      </c>
    </row>
    <row r="4" ht="16.5" spans="1:8">
      <c r="A4" s="72">
        <v>20250909</v>
      </c>
      <c r="B4" s="73">
        <v>2000</v>
      </c>
      <c r="C4" s="72">
        <v>205.9</v>
      </c>
      <c r="D4" s="72">
        <v>4.87</v>
      </c>
      <c r="E4" s="72">
        <v>85.5</v>
      </c>
      <c r="F4" s="72">
        <v>97.3</v>
      </c>
      <c r="G4" s="51">
        <v>12.13</v>
      </c>
    </row>
    <row r="5" ht="16.5" spans="1:8">
      <c r="A5" s="39" t="s">
        <v>3162</v>
      </c>
      <c r="B5" s="9">
        <v>718.8</v>
      </c>
      <c r="C5" s="10">
        <v>196.2</v>
      </c>
      <c r="D5" s="11">
        <v>3.67</v>
      </c>
      <c r="E5" s="12">
        <v>88.4</v>
      </c>
      <c r="F5" s="12">
        <v>97.4</v>
      </c>
      <c r="G5" s="11">
        <v>11.97</v>
      </c>
      <c r="H5" s="71">
        <v>25100338</v>
      </c>
    </row>
    <row r="6" ht="16.5" spans="1:8">
      <c r="A6" s="39" t="s">
        <v>3163</v>
      </c>
      <c r="B6" s="9">
        <v>566</v>
      </c>
      <c r="C6" s="10">
        <v>102.2</v>
      </c>
      <c r="D6" s="11">
        <v>2.35</v>
      </c>
      <c r="E6" s="12">
        <v>72.9</v>
      </c>
      <c r="F6" s="12">
        <v>89.3</v>
      </c>
      <c r="G6" s="11">
        <v>11.17</v>
      </c>
      <c r="H6" s="71">
        <v>25100208</v>
      </c>
    </row>
    <row r="7" ht="16.5" spans="1:8">
      <c r="A7" s="8" t="s">
        <v>3164</v>
      </c>
      <c r="B7" s="9">
        <v>434.2</v>
      </c>
      <c r="C7" s="10">
        <v>179.1</v>
      </c>
      <c r="D7" s="11">
        <v>3.77</v>
      </c>
      <c r="E7" s="12">
        <v>84.2</v>
      </c>
      <c r="F7" s="12">
        <v>95.5</v>
      </c>
      <c r="G7" s="11">
        <v>9.89</v>
      </c>
      <c r="H7" s="71">
        <v>25120030</v>
      </c>
    </row>
    <row r="8" ht="16.5" spans="1:8">
      <c r="A8" s="13"/>
      <c r="B8" s="14"/>
      <c r="C8" s="15"/>
      <c r="D8" s="16"/>
      <c r="E8" s="17"/>
      <c r="F8" s="17"/>
      <c r="G8" s="16"/>
      <c r="H8" s="14"/>
    </row>
    <row r="9" ht="16.5" spans="1:8">
      <c r="A9" s="13"/>
      <c r="B9" s="14"/>
      <c r="C9" s="15"/>
      <c r="D9" s="16"/>
      <c r="E9" s="17"/>
      <c r="F9" s="17"/>
      <c r="G9" s="16"/>
      <c r="H9" s="14"/>
    </row>
  </sheetData>
  <conditionalFormatting sqref="G3">
    <cfRule type="containsText" dxfId="5" priority="3" operator="between" text="4级">
      <formula>NOT(ISERROR(SEARCH("4级",G3)))</formula>
    </cfRule>
    <cfRule type="containsText" dxfId="6" priority="4" operator="between" text="3级">
      <formula>NOT(ISERROR(SEARCH("3级",G3)))</formula>
    </cfRule>
  </conditionalFormatting>
  <conditionalFormatting sqref="G4">
    <cfRule type="expression" dxfId="4" priority="1">
      <formula>$N7&gt;$AX7</formula>
    </cfRule>
    <cfRule type="expression" dxfId="2" priority="2">
      <formula>AND(MOD(ROW(),2)=1,$A4&lt;&gt;"")</formula>
    </cfRule>
  </conditionalFormatting>
  <conditionalFormatting sqref="A1:A2">
    <cfRule type="duplicateValues" dxfId="0" priority="5"/>
  </conditionalFormatting>
  <dataValidations count="1">
    <dataValidation allowBlank="1" showInputMessage="1" showErrorMessage="1" sqref="B3:C3 C4 B5:C9"/>
  </dataValidations>
  <pageMargins left="0.75" right="0.75" top="1" bottom="1" header="0.5" footer="0.5"/>
  <pageSetup paperSize="9" orientation="portrait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workbookViewId="0">
      <selection activeCell="H25" sqref="H25"/>
    </sheetView>
  </sheetViews>
  <sheetFormatPr defaultColWidth="9" defaultRowHeight="13.5"/>
  <cols>
    <col min="1" max="1" width="15.625" customWidth="1"/>
    <col min="7" max="7" width="9.375"/>
    <col min="10" max="10" width="15.625" customWidth="1"/>
    <col min="19" max="19" width="15.625" customWidth="1"/>
  </cols>
  <sheetData>
    <row r="1" ht="16.5" spans="1:25">
      <c r="A1" s="1">
        <v>1208</v>
      </c>
      <c r="B1" s="2">
        <f>SUM(B3:B29)</f>
        <v>10130.2</v>
      </c>
      <c r="C1" s="3" cm="1">
        <f t="array" ref="C1">SUMPRODUCT(C3:C29*B3:B29)/B1</f>
        <v>165.307802412588</v>
      </c>
      <c r="D1" s="4" cm="1">
        <f t="array" ref="D1">SUMPRODUCT(B3:B29*D3:D29)/B1</f>
        <v>3.86217350101676</v>
      </c>
      <c r="E1" s="3" cm="1">
        <f t="array" ref="E1">SUMPRODUCT(B3:B29*E3:E29)/B1</f>
        <v>80.0203687982468</v>
      </c>
      <c r="F1" s="3" cm="1">
        <f t="array" ref="F1">SUMPRODUCT(B3:B29*F3:F29)/B1</f>
        <v>93.9451126335117</v>
      </c>
      <c r="J1" s="1">
        <v>1205</v>
      </c>
      <c r="K1" s="2">
        <f>SUM(K3:K29)</f>
        <v>1060.2</v>
      </c>
      <c r="L1" s="3" cm="1">
        <f t="array" ref="L1">SUMPRODUCT(L3:L29*K3:K29)/K1</f>
        <v>190.057819279381</v>
      </c>
      <c r="M1" s="4" cm="1">
        <f t="array" ref="M1">SUMPRODUCT(K3:K29*M3:M29)/K1</f>
        <v>3.99302395774382</v>
      </c>
      <c r="N1" s="3" cm="1">
        <f t="array" ref="N1">SUMPRODUCT(K3:K29*N3:N29)/K1</f>
        <v>84.9730050933786</v>
      </c>
      <c r="O1" s="3" cm="1">
        <f t="array" ref="O1">SUMPRODUCT(K3:K29*O3:O29)/K1</f>
        <v>95.7800415016035</v>
      </c>
      <c r="S1" s="1">
        <v>1206</v>
      </c>
      <c r="T1" s="2">
        <f>SUM(T3:T29)</f>
        <v>1079.8</v>
      </c>
      <c r="U1" s="3" cm="1">
        <f t="array" ref="U1">SUMPRODUCT(U3:U29*T3:T29)/T1</f>
        <v>164.487016114095</v>
      </c>
      <c r="V1" s="4" cm="1">
        <f t="array" ref="V1">SUMPRODUCT(T3:T29*V3:V29)/T1</f>
        <v>3.71514169290609</v>
      </c>
      <c r="W1" s="3" cm="1">
        <f t="array" ref="W1">SUMPRODUCT(T3:T29*W3:W29)/T1</f>
        <v>82.8599925912206</v>
      </c>
      <c r="X1" s="3" cm="1">
        <f t="array" ref="X1">SUMPRODUCT(T3:T29*X3:X29)/T1</f>
        <v>94.852620855714</v>
      </c>
    </row>
    <row r="2" ht="16.5" spans="1:25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J2" s="5"/>
      <c r="K2" s="6" t="s">
        <v>0</v>
      </c>
      <c r="L2" s="6" t="s">
        <v>1</v>
      </c>
      <c r="M2" s="6" t="s">
        <v>2</v>
      </c>
      <c r="N2" s="6" t="s">
        <v>3</v>
      </c>
      <c r="O2" s="6" t="s">
        <v>4</v>
      </c>
      <c r="S2" s="5"/>
      <c r="T2" s="6" t="s">
        <v>0</v>
      </c>
      <c r="U2" s="6" t="s">
        <v>1</v>
      </c>
      <c r="V2" s="6" t="s">
        <v>2</v>
      </c>
      <c r="W2" s="6" t="s">
        <v>3</v>
      </c>
      <c r="X2" s="6" t="s">
        <v>4</v>
      </c>
    </row>
    <row r="3" ht="16.5" spans="1:25">
      <c r="A3" s="59" t="s">
        <v>3165</v>
      </c>
      <c r="B3" s="59">
        <v>5300</v>
      </c>
      <c r="C3" s="59">
        <v>214.9</v>
      </c>
      <c r="D3" s="59">
        <v>4.65</v>
      </c>
      <c r="E3" s="59">
        <v>81.8</v>
      </c>
      <c r="F3" s="59">
        <v>94.3</v>
      </c>
      <c r="G3" s="70"/>
      <c r="J3" s="23" t="s">
        <v>3166</v>
      </c>
      <c r="K3" s="14">
        <v>547.4</v>
      </c>
      <c r="L3" s="15">
        <v>196.8</v>
      </c>
      <c r="M3" s="16">
        <v>3.7</v>
      </c>
      <c r="N3" s="17">
        <v>88.7</v>
      </c>
      <c r="O3" s="17">
        <v>97.9</v>
      </c>
      <c r="P3" s="14">
        <v>25100339</v>
      </c>
      <c r="S3" s="13" t="s">
        <v>3167</v>
      </c>
      <c r="T3" s="14">
        <v>536.6</v>
      </c>
      <c r="U3" s="15">
        <v>169.1</v>
      </c>
      <c r="V3" s="16">
        <v>3.85</v>
      </c>
      <c r="W3" s="17">
        <v>83.5</v>
      </c>
      <c r="X3" s="17">
        <v>95.3</v>
      </c>
      <c r="Y3" s="14">
        <v>25110043</v>
      </c>
    </row>
    <row r="4" ht="16.5" spans="1:25">
      <c r="A4" s="54" t="s">
        <v>3168</v>
      </c>
      <c r="B4" s="9">
        <v>488</v>
      </c>
      <c r="C4" s="10">
        <v>123.6</v>
      </c>
      <c r="D4" s="11">
        <v>3.28</v>
      </c>
      <c r="E4" s="12">
        <v>74</v>
      </c>
      <c r="F4" s="12">
        <v>89</v>
      </c>
      <c r="G4" s="56">
        <v>24090058</v>
      </c>
      <c r="J4" s="13" t="s">
        <v>3169</v>
      </c>
      <c r="K4" s="14">
        <v>222.6</v>
      </c>
      <c r="L4" s="15">
        <v>175.9</v>
      </c>
      <c r="M4" s="16">
        <v>4.17</v>
      </c>
      <c r="N4" s="17">
        <v>81.9</v>
      </c>
      <c r="O4" s="17">
        <v>93.8</v>
      </c>
      <c r="P4" s="14">
        <v>25120021</v>
      </c>
      <c r="S4" s="13" t="s">
        <v>3170</v>
      </c>
      <c r="T4" s="14">
        <v>277.4</v>
      </c>
      <c r="U4" s="15">
        <v>163.6</v>
      </c>
      <c r="V4" s="16">
        <v>3.67</v>
      </c>
      <c r="W4" s="17">
        <v>83.5</v>
      </c>
      <c r="X4" s="17">
        <v>94.9</v>
      </c>
      <c r="Y4" s="14">
        <v>25120067</v>
      </c>
    </row>
    <row r="5" ht="16.5" spans="1:25">
      <c r="A5" s="54" t="s">
        <v>3171</v>
      </c>
      <c r="B5" s="9">
        <v>439</v>
      </c>
      <c r="C5" s="10">
        <v>114.5</v>
      </c>
      <c r="D5" s="11">
        <v>3.09</v>
      </c>
      <c r="E5" s="12">
        <v>73.3</v>
      </c>
      <c r="F5" s="12">
        <v>88.6</v>
      </c>
      <c r="G5" s="56">
        <v>24090061</v>
      </c>
      <c r="J5" s="13" t="s">
        <v>3172</v>
      </c>
      <c r="K5" s="14">
        <v>290.2</v>
      </c>
      <c r="L5" s="15">
        <v>188.2</v>
      </c>
      <c r="M5" s="16">
        <v>4.41</v>
      </c>
      <c r="N5" s="17">
        <v>80.3</v>
      </c>
      <c r="O5" s="17">
        <v>93.3</v>
      </c>
      <c r="P5" s="14">
        <v>25120085</v>
      </c>
      <c r="S5" s="13" t="s">
        <v>3173</v>
      </c>
      <c r="T5" s="14">
        <v>265.8</v>
      </c>
      <c r="U5" s="15">
        <v>156.1</v>
      </c>
      <c r="V5" s="16">
        <v>3.49</v>
      </c>
      <c r="W5" s="17">
        <v>80.9</v>
      </c>
      <c r="X5" s="17">
        <v>93.9</v>
      </c>
      <c r="Y5" s="14">
        <v>25120011</v>
      </c>
    </row>
    <row r="6" ht="16.5" spans="1:25">
      <c r="A6" s="54" t="s">
        <v>3174</v>
      </c>
      <c r="B6" s="9">
        <v>426</v>
      </c>
      <c r="C6" s="10">
        <v>105.7</v>
      </c>
      <c r="D6" s="11">
        <v>2.9</v>
      </c>
      <c r="E6" s="12">
        <v>72.2</v>
      </c>
      <c r="F6" s="12">
        <v>87.6</v>
      </c>
      <c r="G6" s="9">
        <v>24090064</v>
      </c>
    </row>
    <row r="7" ht="16.5" spans="1:25">
      <c r="A7" s="54" t="s">
        <v>3175</v>
      </c>
      <c r="B7" s="9">
        <v>462.4</v>
      </c>
      <c r="C7" s="10">
        <v>103</v>
      </c>
      <c r="D7" s="11">
        <v>2.77</v>
      </c>
      <c r="E7" s="12">
        <v>87.6</v>
      </c>
      <c r="F7" s="12">
        <v>96.1</v>
      </c>
      <c r="G7" s="9">
        <v>24090171</v>
      </c>
    </row>
    <row r="8" ht="16.5" spans="1:25">
      <c r="A8" s="39" t="s">
        <v>3176</v>
      </c>
      <c r="B8" s="9">
        <v>513.8</v>
      </c>
      <c r="C8" s="10">
        <v>131.9</v>
      </c>
      <c r="D8" s="11">
        <v>3.49</v>
      </c>
      <c r="E8" s="12">
        <v>81.1</v>
      </c>
      <c r="F8" s="12">
        <v>96.3</v>
      </c>
      <c r="G8" s="9">
        <v>25030362</v>
      </c>
    </row>
    <row r="9" ht="16.5" spans="1:25">
      <c r="A9" s="66" t="s">
        <v>3177</v>
      </c>
      <c r="B9" s="9">
        <v>351.8</v>
      </c>
      <c r="C9" s="10">
        <v>103.2</v>
      </c>
      <c r="D9" s="11">
        <v>2.8</v>
      </c>
      <c r="E9" s="12">
        <v>75.3</v>
      </c>
      <c r="F9" s="12">
        <v>94.8</v>
      </c>
      <c r="G9" s="9">
        <v>25040442</v>
      </c>
    </row>
    <row r="10" ht="16.5" spans="1:25">
      <c r="A10" s="66" t="s">
        <v>3178</v>
      </c>
      <c r="B10" s="9">
        <v>503.6</v>
      </c>
      <c r="C10" s="10">
        <v>119.7</v>
      </c>
      <c r="D10" s="11">
        <v>3.09</v>
      </c>
      <c r="E10" s="12">
        <v>76.3</v>
      </c>
      <c r="F10" s="12">
        <v>93.3</v>
      </c>
      <c r="G10" s="9">
        <v>25040485</v>
      </c>
    </row>
    <row r="11" ht="16.5" spans="1:25">
      <c r="A11" s="39" t="s">
        <v>3179</v>
      </c>
      <c r="B11" s="9">
        <v>776.2</v>
      </c>
      <c r="C11" s="10">
        <v>103.1</v>
      </c>
      <c r="D11" s="11">
        <v>2.93</v>
      </c>
      <c r="E11" s="12">
        <v>80.8</v>
      </c>
      <c r="F11" s="12">
        <v>96.2</v>
      </c>
      <c r="G11" s="9">
        <v>25050183</v>
      </c>
    </row>
    <row r="12" ht="16.5" spans="1:25">
      <c r="A12" s="39" t="s">
        <v>3180</v>
      </c>
      <c r="B12" s="9">
        <v>367.2</v>
      </c>
      <c r="C12" s="10">
        <v>101</v>
      </c>
      <c r="D12" s="11">
        <v>2.7</v>
      </c>
      <c r="E12" s="12">
        <v>79.4</v>
      </c>
      <c r="F12" s="12">
        <v>95.9</v>
      </c>
      <c r="G12" s="9">
        <v>25050212</v>
      </c>
    </row>
    <row r="13" ht="16.5" spans="1:25">
      <c r="A13" s="39" t="s">
        <v>3181</v>
      </c>
      <c r="B13" s="9">
        <v>502.2</v>
      </c>
      <c r="C13" s="10">
        <v>101.4</v>
      </c>
      <c r="D13" s="11">
        <v>2.8</v>
      </c>
      <c r="E13" s="12">
        <v>77.8</v>
      </c>
      <c r="F13" s="12">
        <v>95.8</v>
      </c>
      <c r="G13" s="9">
        <v>25070186</v>
      </c>
    </row>
  </sheetData>
  <conditionalFormatting sqref="A1:A2">
    <cfRule type="duplicateValues" dxfId="0" priority="4"/>
  </conditionalFormatting>
  <conditionalFormatting sqref="J1:J2">
    <cfRule type="duplicateValues" dxfId="0" priority="2"/>
  </conditionalFormatting>
  <conditionalFormatting sqref="S1:S2">
    <cfRule type="duplicateValues" dxfId="0" priority="1"/>
  </conditionalFormatting>
  <dataValidations count="1">
    <dataValidation allowBlank="1" showInputMessage="1" showErrorMessage="1" sqref="T3:U3 T4 T5:U5 C10 B11:C13 B4:C9 K3:L5"/>
  </dataValidations>
  <pageMargins left="0.75" right="0.75" top="1" bottom="1" header="0.5" footer="0.5"/>
  <pageSetup paperSize="9" orientation="portrait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P16" sqref="P16"/>
    </sheetView>
  </sheetViews>
  <sheetFormatPr defaultColWidth="9" defaultRowHeight="13.5" outlineLevelRow="5" outlineLevelCol="6"/>
  <cols>
    <col min="1" max="1" width="15.625" customWidth="1"/>
    <col min="7" max="7" width="9.375"/>
  </cols>
  <sheetData>
    <row r="1" ht="16.5" spans="1:7">
      <c r="A1" s="1" t="s">
        <v>3182</v>
      </c>
      <c r="B1" s="2">
        <f>SUM(B3:B31)</f>
        <v>1399.2</v>
      </c>
      <c r="C1" s="3" cm="1">
        <f t="array" ref="C1">SUMPRODUCT(C3:C31*B3:B31)/B1</f>
        <v>259.870826186392</v>
      </c>
      <c r="D1" s="4" cm="1">
        <f t="array" ref="D1">SUMPRODUCT(B3:B31*D3:D31)/B1</f>
        <v>4.89497855917667</v>
      </c>
      <c r="E1" s="3" cm="1">
        <f t="array" ref="E1">SUMPRODUCT(B3:B31*E3:E31)/B1</f>
        <v>86.6498856489423</v>
      </c>
      <c r="F1" s="3" cm="1">
        <f t="array" ref="F1">SUMPRODUCT(B3:B31*F3:F31)/B1</f>
        <v>95.8876500857633</v>
      </c>
    </row>
    <row r="2" ht="16.5" spans="1:7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23" t="s">
        <v>3183</v>
      </c>
      <c r="B3" s="14">
        <v>277.8</v>
      </c>
      <c r="C3" s="15">
        <v>253.5</v>
      </c>
      <c r="D3" s="16">
        <v>4.82</v>
      </c>
      <c r="E3" s="17">
        <v>91</v>
      </c>
      <c r="F3" s="17">
        <v>97.9</v>
      </c>
      <c r="G3" s="14">
        <v>25100109</v>
      </c>
    </row>
    <row r="4" ht="16.5" spans="1:7">
      <c r="A4" s="13" t="s">
        <v>3184</v>
      </c>
      <c r="B4" s="14">
        <v>132.8</v>
      </c>
      <c r="C4" s="15">
        <v>276.2</v>
      </c>
      <c r="D4" s="16">
        <v>4.94</v>
      </c>
      <c r="E4" s="17">
        <v>92.6</v>
      </c>
      <c r="F4" s="17">
        <v>98.9</v>
      </c>
      <c r="G4" s="14">
        <v>25110005</v>
      </c>
    </row>
    <row r="5" ht="16.5" spans="1:7">
      <c r="A5" s="13" t="s">
        <v>3185</v>
      </c>
      <c r="B5" s="14">
        <v>511.2</v>
      </c>
      <c r="C5" s="15">
        <v>264.2</v>
      </c>
      <c r="D5" s="16">
        <v>4.91</v>
      </c>
      <c r="E5" s="17">
        <v>82.6</v>
      </c>
      <c r="F5" s="17">
        <v>94</v>
      </c>
      <c r="G5" s="14">
        <v>25120100</v>
      </c>
    </row>
    <row r="6" ht="16.5" spans="1:7">
      <c r="A6" s="13" t="s">
        <v>3186</v>
      </c>
      <c r="B6" s="14">
        <v>477.4</v>
      </c>
      <c r="C6" s="15">
        <v>254.4</v>
      </c>
      <c r="D6" s="16">
        <v>4.91</v>
      </c>
      <c r="E6" s="17">
        <v>86.8</v>
      </c>
      <c r="F6" s="17">
        <v>95.9</v>
      </c>
      <c r="G6" s="14">
        <v>25110077</v>
      </c>
    </row>
  </sheetData>
  <conditionalFormatting sqref="A1:A2">
    <cfRule type="duplicateValues" dxfId="0" priority="3"/>
  </conditionalFormatting>
  <dataValidations count="1">
    <dataValidation allowBlank="1" showInputMessage="1" showErrorMessage="1" sqref="B3:C6"/>
  </dataValidations>
  <pageMargins left="0.75" right="0.75" top="1" bottom="1" header="0.5" footer="0.5"/>
  <pageSetup paperSize="9" orientation="portrait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B1" sqref="B1:F2"/>
    </sheetView>
  </sheetViews>
  <sheetFormatPr defaultColWidth="9" defaultRowHeight="13.5"/>
  <cols>
    <col min="1" max="1" width="15.625" customWidth="1"/>
    <col min="10" max="10" width="15.625" customWidth="1"/>
  </cols>
  <sheetData>
    <row r="1" ht="16.5" spans="1:12">
      <c r="A1" s="1"/>
      <c r="B1" s="2">
        <f>SUM(B3:B31)</f>
        <v>9996</v>
      </c>
      <c r="C1" s="3" cm="1">
        <f t="array" ref="C1">SUMPRODUCT(C3:C31*B3:B31)/B1</f>
        <v>163.746238495398</v>
      </c>
      <c r="D1" s="4" cm="1">
        <f t="array" ref="D1">SUMPRODUCT(B3:B31*D3:D31)/B1</f>
        <v>3.68076590636254</v>
      </c>
      <c r="E1" s="3" cm="1">
        <f t="array" ref="E1">SUMPRODUCT(B3:B31*E3:E31)/B1</f>
        <v>83.1322008803521</v>
      </c>
      <c r="F1" s="3" cm="1">
        <f t="array" ref="F1">SUMPRODUCT(B3:B31*F3:F31)/B1</f>
        <v>95.1787995198079</v>
      </c>
      <c r="J1" s="13" t="s">
        <v>3187</v>
      </c>
      <c r="K1" s="14">
        <v>571</v>
      </c>
      <c r="L1" s="14">
        <v>25120088</v>
      </c>
    </row>
    <row r="2" ht="16.5" spans="1:12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12">
      <c r="A3" s="13" t="s">
        <v>3187</v>
      </c>
      <c r="B3" s="14">
        <v>571</v>
      </c>
      <c r="C3" s="15">
        <v>141.6</v>
      </c>
      <c r="D3" s="16">
        <v>3.53</v>
      </c>
      <c r="E3" s="17">
        <v>80.4</v>
      </c>
      <c r="F3" s="17">
        <v>94.1</v>
      </c>
      <c r="G3" s="14">
        <v>25120088</v>
      </c>
    </row>
    <row r="4" ht="16.5" spans="1:12">
      <c r="A4" s="69" t="s">
        <v>3188</v>
      </c>
      <c r="B4" s="24">
        <v>509.2</v>
      </c>
      <c r="C4" s="28">
        <v>211.2</v>
      </c>
      <c r="D4" s="25">
        <v>3.73</v>
      </c>
      <c r="E4" s="29">
        <v>89.2</v>
      </c>
      <c r="F4" s="29">
        <v>95.9</v>
      </c>
      <c r="G4" s="24">
        <v>24090005</v>
      </c>
    </row>
    <row r="5" ht="16.5" spans="1:12">
      <c r="A5" s="69" t="s">
        <v>3189</v>
      </c>
      <c r="B5" s="24">
        <v>543.2</v>
      </c>
      <c r="C5" s="28">
        <v>104.6</v>
      </c>
      <c r="D5" s="25">
        <v>2.83</v>
      </c>
      <c r="E5" s="29">
        <v>72.3</v>
      </c>
      <c r="F5" s="29">
        <v>87.7</v>
      </c>
      <c r="G5" s="24">
        <v>24090063</v>
      </c>
    </row>
    <row r="6" ht="16.5" spans="1:12">
      <c r="A6" s="69" t="s">
        <v>3190</v>
      </c>
      <c r="B6" s="24">
        <v>479.2</v>
      </c>
      <c r="C6" s="28">
        <v>140.2</v>
      </c>
      <c r="D6" s="25">
        <v>3.79</v>
      </c>
      <c r="E6" s="29">
        <v>83.1</v>
      </c>
      <c r="F6" s="29">
        <v>93.8</v>
      </c>
      <c r="G6" s="24">
        <v>24090107</v>
      </c>
    </row>
    <row r="7" ht="16.5" spans="1:12">
      <c r="A7" s="27" t="s">
        <v>3191</v>
      </c>
      <c r="B7" s="24">
        <v>0</v>
      </c>
      <c r="C7" s="28">
        <v>143.9</v>
      </c>
      <c r="D7" s="25">
        <v>3.53</v>
      </c>
      <c r="E7" s="29">
        <v>81.5</v>
      </c>
      <c r="F7" s="29">
        <v>96.6</v>
      </c>
      <c r="G7" s="24">
        <v>25040420</v>
      </c>
    </row>
    <row r="8" ht="16.5" spans="1:12">
      <c r="A8" s="31" t="s">
        <v>3192</v>
      </c>
      <c r="B8" s="24">
        <v>895.8</v>
      </c>
      <c r="C8" s="28">
        <v>130.4</v>
      </c>
      <c r="D8" s="25">
        <v>3.43</v>
      </c>
      <c r="E8" s="29">
        <v>77.3</v>
      </c>
      <c r="F8" s="29">
        <v>94.2</v>
      </c>
      <c r="G8" s="24">
        <v>25060019</v>
      </c>
    </row>
    <row r="9" ht="16.5" spans="1:12">
      <c r="A9" s="31" t="s">
        <v>3193</v>
      </c>
      <c r="B9" s="24">
        <v>869.2</v>
      </c>
      <c r="C9" s="28">
        <v>176.5</v>
      </c>
      <c r="D9" s="25">
        <v>4.17</v>
      </c>
      <c r="E9" s="29">
        <v>83.6</v>
      </c>
      <c r="F9" s="29">
        <v>96.3</v>
      </c>
      <c r="G9" s="24">
        <v>25060028</v>
      </c>
    </row>
    <row r="10" ht="16.5" spans="1:12">
      <c r="A10" s="31" t="s">
        <v>3194</v>
      </c>
      <c r="B10" s="24">
        <v>877.8</v>
      </c>
      <c r="C10" s="28">
        <v>232.3</v>
      </c>
      <c r="D10" s="25">
        <v>4.52</v>
      </c>
      <c r="E10" s="29">
        <v>91.9</v>
      </c>
      <c r="F10" s="29">
        <v>99.2</v>
      </c>
      <c r="G10" s="24">
        <v>25060063</v>
      </c>
    </row>
    <row r="11" ht="16.5" spans="1:12">
      <c r="A11" s="31" t="s">
        <v>3195</v>
      </c>
      <c r="B11" s="24">
        <v>636</v>
      </c>
      <c r="C11" s="28">
        <v>102.4</v>
      </c>
      <c r="D11" s="25">
        <v>3.28</v>
      </c>
      <c r="E11" s="29">
        <v>76</v>
      </c>
      <c r="F11" s="29">
        <v>95.3</v>
      </c>
      <c r="G11" s="24">
        <v>25060072</v>
      </c>
    </row>
    <row r="12" ht="16.5" spans="1:12">
      <c r="A12" s="31" t="s">
        <v>3196</v>
      </c>
      <c r="B12" s="24">
        <v>508.4</v>
      </c>
      <c r="C12" s="28">
        <v>125.8</v>
      </c>
      <c r="D12" s="25">
        <v>3.49</v>
      </c>
      <c r="E12" s="29">
        <v>80.1</v>
      </c>
      <c r="F12" s="29">
        <v>96.2</v>
      </c>
      <c r="G12" s="24">
        <v>25060083</v>
      </c>
    </row>
    <row r="13" ht="16.5" spans="1:12">
      <c r="A13" s="31" t="s">
        <v>3197</v>
      </c>
      <c r="B13" s="24">
        <v>506.4</v>
      </c>
      <c r="C13" s="28">
        <v>226.8</v>
      </c>
      <c r="D13" s="25">
        <v>4.55</v>
      </c>
      <c r="E13" s="29">
        <v>96.5</v>
      </c>
      <c r="F13" s="29">
        <v>97.6</v>
      </c>
      <c r="G13" s="24">
        <v>25060079</v>
      </c>
    </row>
    <row r="14" ht="16.5" spans="1:12">
      <c r="A14" s="31" t="s">
        <v>3198</v>
      </c>
      <c r="B14" s="24">
        <v>175.2</v>
      </c>
      <c r="C14" s="28">
        <v>228.7</v>
      </c>
      <c r="D14" s="25">
        <v>4.57</v>
      </c>
      <c r="E14" s="29">
        <v>96</v>
      </c>
      <c r="F14" s="29">
        <v>97.2</v>
      </c>
      <c r="G14" s="24">
        <v>25060080</v>
      </c>
    </row>
    <row r="15" ht="16.5" spans="1:12">
      <c r="A15" s="69" t="s">
        <v>3199</v>
      </c>
      <c r="B15" s="24">
        <v>696.8</v>
      </c>
      <c r="C15" s="28">
        <v>138.5</v>
      </c>
      <c r="D15" s="25">
        <v>3.34</v>
      </c>
      <c r="E15" s="29">
        <v>82</v>
      </c>
      <c r="F15" s="29">
        <v>95.8</v>
      </c>
      <c r="G15" s="24">
        <v>25060310</v>
      </c>
    </row>
    <row r="16" ht="16.5" spans="1:12">
      <c r="A16" s="69" t="s">
        <v>3200</v>
      </c>
      <c r="B16" s="24">
        <v>832.2</v>
      </c>
      <c r="C16" s="28">
        <v>133.8</v>
      </c>
      <c r="D16" s="25">
        <v>2.9</v>
      </c>
      <c r="E16" s="29">
        <v>73.8</v>
      </c>
      <c r="F16" s="29">
        <v>90.6</v>
      </c>
      <c r="G16" s="24">
        <v>25060323</v>
      </c>
    </row>
    <row r="17" ht="16.5" spans="1:7">
      <c r="A17" s="30" t="s">
        <v>3201</v>
      </c>
      <c r="B17" s="24">
        <v>711.8</v>
      </c>
      <c r="C17" s="28">
        <v>192.7</v>
      </c>
      <c r="D17" s="25">
        <v>3.67</v>
      </c>
      <c r="E17" s="29">
        <v>87.7</v>
      </c>
      <c r="F17" s="29">
        <v>97.1</v>
      </c>
      <c r="G17" s="24">
        <v>25100336</v>
      </c>
    </row>
    <row r="18" ht="16.5" spans="1:7">
      <c r="A18" s="32" t="s">
        <v>3202</v>
      </c>
      <c r="B18" s="24">
        <v>648.6</v>
      </c>
      <c r="C18" s="28">
        <v>187.8</v>
      </c>
      <c r="D18" s="25">
        <v>3.85</v>
      </c>
      <c r="E18" s="29">
        <v>86.7</v>
      </c>
      <c r="F18" s="29">
        <v>96.4</v>
      </c>
      <c r="G18" s="24">
        <v>25100348</v>
      </c>
    </row>
    <row r="19" ht="16.5" spans="1:7">
      <c r="A19" s="32" t="s">
        <v>3203</v>
      </c>
      <c r="B19" s="24">
        <v>535.2</v>
      </c>
      <c r="C19" s="28">
        <v>185.8</v>
      </c>
      <c r="D19" s="25">
        <v>3.82</v>
      </c>
      <c r="E19" s="29">
        <v>86</v>
      </c>
      <c r="F19" s="29">
        <v>95.9</v>
      </c>
      <c r="G19" s="24">
        <v>25100349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K1 B3:C19"/>
  </dataValidations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M21" sqref="M21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1211</v>
      </c>
      <c r="B1" s="2">
        <f>SUM(B3:B29)</f>
        <v>5181</v>
      </c>
      <c r="C1" s="3" cm="1">
        <f t="array" ref="C1">SUMPRODUCT(C3:C29*B3:B29)/B1</f>
        <v>140.012071028759</v>
      </c>
      <c r="D1" s="4" cm="1">
        <f t="array" ref="D1">SUMPRODUCT(B3:B29*D3:D29)/B1</f>
        <v>3.41684346651226</v>
      </c>
      <c r="E1" s="3" cm="1">
        <f t="array" ref="E1">SUMPRODUCT(B3:B29*E3:E29)/B1</f>
        <v>80.9103377726308</v>
      </c>
      <c r="F1" s="3" cm="1">
        <f t="array" ref="F1">SUMPRODUCT(B3:B29*F3:F29)/B1</f>
        <v>95.460266357846</v>
      </c>
    </row>
    <row r="2" ht="16.5" spans="1:7">
      <c r="A2" s="5">
        <v>120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68" t="s">
        <v>3204</v>
      </c>
      <c r="B3" s="56">
        <v>492</v>
      </c>
      <c r="C3" s="12">
        <v>124.8</v>
      </c>
      <c r="D3" s="57">
        <v>3.34</v>
      </c>
      <c r="E3" s="12">
        <v>84.1</v>
      </c>
      <c r="F3" s="12">
        <v>97.6</v>
      </c>
      <c r="G3" s="56">
        <v>25040423</v>
      </c>
    </row>
    <row r="4" ht="16.5" spans="1:7">
      <c r="A4" s="68" t="s">
        <v>3205</v>
      </c>
      <c r="B4" s="56">
        <v>524.6</v>
      </c>
      <c r="C4" s="12">
        <v>126.4</v>
      </c>
      <c r="D4" s="57">
        <v>3.34</v>
      </c>
      <c r="E4" s="12">
        <v>84.3</v>
      </c>
      <c r="F4" s="12">
        <v>97.9</v>
      </c>
      <c r="G4" s="56">
        <v>25040422</v>
      </c>
    </row>
    <row r="5" ht="16.5" spans="1:7">
      <c r="A5" s="68" t="s">
        <v>3206</v>
      </c>
      <c r="B5" s="56">
        <v>508</v>
      </c>
      <c r="C5" s="12">
        <v>129.2</v>
      </c>
      <c r="D5" s="57">
        <v>3.34</v>
      </c>
      <c r="E5" s="12">
        <v>83.9</v>
      </c>
      <c r="F5" s="12">
        <v>97.3</v>
      </c>
      <c r="G5" s="56">
        <v>25040421</v>
      </c>
    </row>
    <row r="6" ht="16.5" spans="1:7">
      <c r="A6" s="68" t="s">
        <v>3207</v>
      </c>
      <c r="B6" s="56">
        <v>318.4</v>
      </c>
      <c r="C6" s="12">
        <v>186.1</v>
      </c>
      <c r="D6" s="57">
        <v>3.61</v>
      </c>
      <c r="E6" s="12">
        <v>86</v>
      </c>
      <c r="F6" s="12">
        <v>95.7</v>
      </c>
      <c r="G6" s="56">
        <v>25100343</v>
      </c>
    </row>
    <row r="7" ht="16.5" spans="1:7">
      <c r="A7" s="68" t="s">
        <v>3208</v>
      </c>
      <c r="B7" s="56">
        <v>387.2</v>
      </c>
      <c r="C7" s="12">
        <v>109.2</v>
      </c>
      <c r="D7" s="57">
        <v>2.99</v>
      </c>
      <c r="E7" s="12">
        <v>81.1</v>
      </c>
      <c r="F7" s="12">
        <v>96.8</v>
      </c>
      <c r="G7" s="56">
        <v>25040424</v>
      </c>
    </row>
    <row r="8" ht="16.5" spans="1:7">
      <c r="A8" s="68" t="s">
        <v>3209</v>
      </c>
      <c r="B8" s="56">
        <v>696.8</v>
      </c>
      <c r="C8" s="12">
        <v>122.7</v>
      </c>
      <c r="D8" s="57">
        <v>3.18</v>
      </c>
      <c r="E8" s="12">
        <v>75.1</v>
      </c>
      <c r="F8" s="12">
        <v>94.4</v>
      </c>
      <c r="G8" s="56">
        <v>25040441</v>
      </c>
    </row>
    <row r="9" ht="16.5" spans="1:7">
      <c r="A9" s="55" t="s">
        <v>3210</v>
      </c>
      <c r="B9" s="56">
        <v>706</v>
      </c>
      <c r="C9" s="12">
        <v>173.2</v>
      </c>
      <c r="D9" s="57">
        <v>3.82</v>
      </c>
      <c r="E9" s="12">
        <v>85.7</v>
      </c>
      <c r="F9" s="12">
        <v>95.4</v>
      </c>
      <c r="G9" s="56">
        <v>25100352</v>
      </c>
    </row>
    <row r="10" ht="16.5" spans="1:7">
      <c r="A10" s="68" t="s">
        <v>3211</v>
      </c>
      <c r="B10" s="56">
        <v>526.4</v>
      </c>
      <c r="C10" s="12">
        <v>125.7</v>
      </c>
      <c r="D10" s="57">
        <v>3.12</v>
      </c>
      <c r="E10" s="12">
        <v>78.3</v>
      </c>
      <c r="F10" s="12">
        <v>94.9</v>
      </c>
      <c r="G10" s="56">
        <v>25040464</v>
      </c>
    </row>
    <row r="11" ht="16.5" spans="1:7">
      <c r="A11" s="55" t="s">
        <v>3212</v>
      </c>
      <c r="B11" s="56">
        <v>515</v>
      </c>
      <c r="C11" s="12">
        <v>179.3</v>
      </c>
      <c r="D11" s="57">
        <v>4.15</v>
      </c>
      <c r="E11" s="12">
        <v>74.9</v>
      </c>
      <c r="F11" s="12">
        <v>90.7</v>
      </c>
      <c r="G11" s="56">
        <v>25110064</v>
      </c>
    </row>
    <row r="12" ht="16.5" spans="1:7">
      <c r="A12" s="68" t="s">
        <v>3213</v>
      </c>
      <c r="B12" s="56">
        <v>506.6</v>
      </c>
      <c r="C12" s="12">
        <v>126.8</v>
      </c>
      <c r="D12" s="57">
        <v>3.18</v>
      </c>
      <c r="E12" s="12">
        <v>78.1</v>
      </c>
      <c r="F12" s="12">
        <v>94.8</v>
      </c>
      <c r="G12" s="56">
        <v>25040463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:C12"/>
  </dataValidations>
  <pageMargins left="0.75" right="0.75" top="1" bottom="1" header="0.5" footer="0.5"/>
  <pageSetup paperSize="9" orientation="portrait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M37" sqref="M37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1212</v>
      </c>
      <c r="B1" s="2">
        <f>SUM(B3:B31)</f>
        <v>10091.4</v>
      </c>
      <c r="C1" s="3" cm="1">
        <f t="array" ref="C1">SUMPRODUCT(C3:C31*B3:B31)/B1</f>
        <v>242.482719939751</v>
      </c>
      <c r="D1" s="4" cm="1">
        <f t="array" ref="D1">SUMPRODUCT(B3:B31*D3:D31)/B1</f>
        <v>4.87062112293636</v>
      </c>
      <c r="E1" s="3" cm="1">
        <f t="array" ref="E1">SUMPRODUCT(B3:B31*E3:E31)/B1</f>
        <v>87.3552192956379</v>
      </c>
      <c r="F1" s="3" cm="1">
        <f t="array" ref="F1">SUMPRODUCT(B3:B31*F3:F31)/B1</f>
        <v>96.5228551043463</v>
      </c>
    </row>
    <row r="2" ht="16.5" spans="1:7">
      <c r="A2" s="5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19">
        <v>20241142</v>
      </c>
      <c r="B3" s="19">
        <v>58.4</v>
      </c>
      <c r="C3" s="19">
        <v>258.4</v>
      </c>
      <c r="D3" s="19">
        <v>4.54</v>
      </c>
      <c r="E3" s="19">
        <v>80.4</v>
      </c>
      <c r="F3" s="19">
        <v>94.4</v>
      </c>
    </row>
    <row r="4" ht="16.5" spans="1:7">
      <c r="A4" s="19">
        <v>20241143</v>
      </c>
      <c r="B4" s="19">
        <v>134.6</v>
      </c>
      <c r="C4" s="1">
        <v>260.2</v>
      </c>
      <c r="D4" s="1">
        <v>4.58</v>
      </c>
      <c r="E4" s="2">
        <v>80.3</v>
      </c>
      <c r="F4" s="2">
        <v>94.3</v>
      </c>
    </row>
    <row r="5" ht="16.5" spans="1:7">
      <c r="A5" s="19" t="s">
        <v>3214</v>
      </c>
      <c r="B5" s="19">
        <v>100</v>
      </c>
      <c r="C5" s="19">
        <v>197</v>
      </c>
      <c r="D5" s="19">
        <v>4.5</v>
      </c>
      <c r="E5" s="19">
        <v>80</v>
      </c>
      <c r="F5" s="19">
        <v>94</v>
      </c>
    </row>
    <row r="6" ht="16.5" spans="1:7">
      <c r="A6" s="19">
        <v>20251121</v>
      </c>
      <c r="B6" s="19">
        <v>70</v>
      </c>
      <c r="C6" s="1">
        <v>222.7</v>
      </c>
      <c r="D6" s="1">
        <v>4.94</v>
      </c>
      <c r="E6" s="2">
        <v>85.2</v>
      </c>
      <c r="F6" s="2">
        <v>96.5</v>
      </c>
    </row>
    <row r="7" ht="16.5" spans="1:7">
      <c r="A7" s="19">
        <v>20251123</v>
      </c>
      <c r="B7" s="19">
        <v>308</v>
      </c>
      <c r="C7" s="1">
        <v>253.1</v>
      </c>
      <c r="D7" s="1">
        <v>4.8</v>
      </c>
      <c r="E7" s="2">
        <v>88.9</v>
      </c>
      <c r="F7" s="2">
        <v>97.3</v>
      </c>
    </row>
    <row r="8" ht="16.5" spans="1:7">
      <c r="A8" s="19">
        <v>20251125</v>
      </c>
      <c r="B8" s="19">
        <v>78.8</v>
      </c>
      <c r="C8" s="1">
        <v>180.8</v>
      </c>
      <c r="D8" s="1">
        <v>3.99</v>
      </c>
      <c r="E8" s="2">
        <v>78.6</v>
      </c>
      <c r="F8" s="2">
        <v>92.3</v>
      </c>
    </row>
    <row r="9" ht="16.5" spans="1:7">
      <c r="A9" s="59">
        <v>20251128</v>
      </c>
      <c r="B9" s="59">
        <v>114.8</v>
      </c>
      <c r="C9" s="65">
        <v>254.5</v>
      </c>
      <c r="D9" s="65">
        <v>4.81</v>
      </c>
      <c r="E9" s="5">
        <v>88.8</v>
      </c>
      <c r="F9" s="5">
        <v>97.8</v>
      </c>
    </row>
    <row r="10" ht="16.5" spans="1:7">
      <c r="A10" s="39" t="s">
        <v>3215</v>
      </c>
      <c r="B10" s="9">
        <v>378</v>
      </c>
      <c r="C10" s="10">
        <v>268.9</v>
      </c>
      <c r="D10" s="11">
        <v>4.97</v>
      </c>
      <c r="E10" s="12">
        <v>89</v>
      </c>
      <c r="F10" s="12">
        <v>97.4</v>
      </c>
      <c r="G10" s="9">
        <v>24120456</v>
      </c>
    </row>
    <row r="11" ht="16.5" spans="1:7">
      <c r="A11" s="39" t="s">
        <v>954</v>
      </c>
      <c r="B11" s="9">
        <v>355.4</v>
      </c>
      <c r="C11" s="10">
        <v>283.8</v>
      </c>
      <c r="D11" s="11">
        <v>5.19</v>
      </c>
      <c r="E11" s="12">
        <v>90.8</v>
      </c>
      <c r="F11" s="12">
        <v>98</v>
      </c>
      <c r="G11" s="9">
        <v>25010038</v>
      </c>
    </row>
    <row r="12" ht="16.5" spans="1:7">
      <c r="A12" s="8" t="s">
        <v>3216</v>
      </c>
      <c r="B12" s="9">
        <v>606.4</v>
      </c>
      <c r="C12" s="10">
        <v>278.1</v>
      </c>
      <c r="D12" s="11">
        <v>5.11</v>
      </c>
      <c r="E12" s="12">
        <v>91.9</v>
      </c>
      <c r="F12" s="12">
        <v>98.7</v>
      </c>
      <c r="G12" s="9">
        <v>25110006</v>
      </c>
    </row>
    <row r="13" ht="16.5" spans="1:7">
      <c r="A13" s="66" t="s">
        <v>3217</v>
      </c>
      <c r="B13" s="9">
        <v>491.4</v>
      </c>
      <c r="C13" s="10">
        <v>119.3</v>
      </c>
      <c r="D13" s="11">
        <v>3.09</v>
      </c>
      <c r="E13" s="12">
        <v>79.3</v>
      </c>
      <c r="F13" s="12">
        <v>95.1</v>
      </c>
      <c r="G13" s="9">
        <v>25040487</v>
      </c>
    </row>
    <row r="14" ht="16.5" spans="1:7">
      <c r="A14" s="54" t="s">
        <v>2900</v>
      </c>
      <c r="B14" s="9">
        <v>194</v>
      </c>
      <c r="C14" s="10">
        <v>197.5</v>
      </c>
      <c r="D14" s="11">
        <v>5.24</v>
      </c>
      <c r="E14" s="12">
        <v>77.8</v>
      </c>
      <c r="F14" s="12">
        <v>90.9</v>
      </c>
      <c r="G14" s="9">
        <v>24090054</v>
      </c>
    </row>
    <row r="15" ht="16.5" spans="1:7">
      <c r="A15" s="54" t="s">
        <v>3218</v>
      </c>
      <c r="B15" s="9">
        <v>521.8</v>
      </c>
      <c r="C15" s="10">
        <v>217.6</v>
      </c>
      <c r="D15" s="11">
        <v>6.48</v>
      </c>
      <c r="E15" s="12">
        <v>72.5</v>
      </c>
      <c r="F15" s="12">
        <v>88.6</v>
      </c>
      <c r="G15" s="9">
        <v>24090162</v>
      </c>
    </row>
    <row r="16" ht="16.5" spans="1:7">
      <c r="A16" s="8" t="s">
        <v>3219</v>
      </c>
      <c r="B16" s="9">
        <v>551.4</v>
      </c>
      <c r="C16" s="10">
        <v>259.4</v>
      </c>
      <c r="D16" s="11">
        <v>5.19</v>
      </c>
      <c r="E16" s="12">
        <v>87.3</v>
      </c>
      <c r="F16" s="12">
        <v>96.9</v>
      </c>
      <c r="G16" s="9">
        <v>25110013</v>
      </c>
    </row>
    <row r="17" ht="16.5" spans="1:7">
      <c r="A17" s="8" t="s">
        <v>3220</v>
      </c>
      <c r="B17" s="9">
        <v>210.6</v>
      </c>
      <c r="C17" s="10">
        <v>258.8</v>
      </c>
      <c r="D17" s="11">
        <v>5.11</v>
      </c>
      <c r="E17" s="12">
        <v>87.6</v>
      </c>
      <c r="F17" s="12">
        <v>96.9</v>
      </c>
      <c r="G17" s="9">
        <v>25110014</v>
      </c>
    </row>
    <row r="18" ht="16.5" spans="1:7">
      <c r="A18" s="8" t="s">
        <v>3221</v>
      </c>
      <c r="B18" s="9">
        <v>197.2</v>
      </c>
      <c r="C18" s="10">
        <v>292.9</v>
      </c>
      <c r="D18" s="11">
        <v>5.11</v>
      </c>
      <c r="E18" s="12">
        <v>93.2</v>
      </c>
      <c r="F18" s="12">
        <v>98.8</v>
      </c>
      <c r="G18" s="9">
        <v>25110015</v>
      </c>
    </row>
    <row r="19" ht="16.5" spans="1:7">
      <c r="A19" s="66" t="s">
        <v>3222</v>
      </c>
      <c r="B19" s="9">
        <v>0</v>
      </c>
      <c r="C19" s="10">
        <v>119.3</v>
      </c>
      <c r="D19" s="11">
        <v>3.12</v>
      </c>
      <c r="E19" s="12">
        <v>79</v>
      </c>
      <c r="F19" s="12">
        <v>95</v>
      </c>
      <c r="G19" s="67">
        <v>25040488</v>
      </c>
    </row>
    <row r="20" ht="16.5" spans="1:7">
      <c r="A20" s="8" t="s">
        <v>3223</v>
      </c>
      <c r="B20" s="9">
        <v>564.2</v>
      </c>
      <c r="C20" s="10">
        <v>216.3</v>
      </c>
      <c r="D20" s="11">
        <v>4.17</v>
      </c>
      <c r="E20" s="12">
        <v>89.5</v>
      </c>
      <c r="F20" s="12">
        <v>98</v>
      </c>
      <c r="G20" s="9">
        <v>25110031</v>
      </c>
    </row>
    <row r="21" ht="16.5" spans="1:7">
      <c r="A21" s="8" t="s">
        <v>3224</v>
      </c>
      <c r="B21" s="9">
        <v>590</v>
      </c>
      <c r="C21" s="10">
        <v>287.4</v>
      </c>
      <c r="D21" s="11">
        <v>5.11</v>
      </c>
      <c r="E21" s="12">
        <v>93.1</v>
      </c>
      <c r="F21" s="12">
        <v>98.8</v>
      </c>
      <c r="G21" s="9">
        <v>25110016</v>
      </c>
    </row>
    <row r="22" ht="16.5" spans="1:7">
      <c r="A22" s="8" t="s">
        <v>3225</v>
      </c>
      <c r="B22" s="9">
        <v>567</v>
      </c>
      <c r="C22" s="10">
        <v>286.7</v>
      </c>
      <c r="D22" s="11">
        <v>5.16</v>
      </c>
      <c r="E22" s="12">
        <v>92.6</v>
      </c>
      <c r="F22" s="12">
        <v>98.5</v>
      </c>
      <c r="G22" s="9">
        <v>25110017</v>
      </c>
    </row>
    <row r="23" ht="16.5" spans="1:7">
      <c r="A23" s="8" t="s">
        <v>3226</v>
      </c>
      <c r="B23" s="9">
        <v>393</v>
      </c>
      <c r="C23" s="10">
        <v>220.2</v>
      </c>
      <c r="D23" s="11">
        <v>4.15</v>
      </c>
      <c r="E23" s="12">
        <v>89.6</v>
      </c>
      <c r="F23" s="12">
        <v>98</v>
      </c>
      <c r="G23" s="9">
        <v>25110032</v>
      </c>
    </row>
    <row r="24" ht="16.5" spans="1:7">
      <c r="A24" s="39" t="s">
        <v>3227</v>
      </c>
      <c r="B24" s="9">
        <v>531</v>
      </c>
      <c r="C24" s="10">
        <v>253.1</v>
      </c>
      <c r="D24" s="11">
        <v>5.41</v>
      </c>
      <c r="E24" s="12">
        <v>88.3</v>
      </c>
      <c r="F24" s="12">
        <v>97.6</v>
      </c>
      <c r="G24" s="9">
        <v>25010435</v>
      </c>
    </row>
    <row r="25" ht="16.5" spans="1:7">
      <c r="A25" s="8" t="s">
        <v>3228</v>
      </c>
      <c r="B25" s="9">
        <v>489.6</v>
      </c>
      <c r="C25" s="10">
        <v>266.3</v>
      </c>
      <c r="D25" s="11">
        <v>5.57</v>
      </c>
      <c r="E25" s="12">
        <v>84.6</v>
      </c>
      <c r="F25" s="12">
        <v>95.2</v>
      </c>
      <c r="G25" s="9">
        <v>25110038</v>
      </c>
    </row>
    <row r="26" ht="16.5" spans="1:7">
      <c r="A26" s="39" t="s">
        <v>3229</v>
      </c>
      <c r="B26" s="9">
        <v>569.8</v>
      </c>
      <c r="C26" s="10">
        <v>237.8</v>
      </c>
      <c r="D26" s="11">
        <v>4.41</v>
      </c>
      <c r="E26" s="12">
        <v>88.3</v>
      </c>
      <c r="F26" s="12">
        <v>96.7</v>
      </c>
      <c r="G26" s="9">
        <v>25100165</v>
      </c>
    </row>
    <row r="27" ht="16.5" spans="1:7">
      <c r="A27" s="8" t="s">
        <v>3230</v>
      </c>
      <c r="B27" s="9">
        <v>558.2</v>
      </c>
      <c r="C27" s="10">
        <v>274</v>
      </c>
      <c r="D27" s="11">
        <v>5.24</v>
      </c>
      <c r="E27" s="12">
        <v>88.8</v>
      </c>
      <c r="F27" s="12">
        <v>96.6</v>
      </c>
      <c r="G27" s="9">
        <v>25120016</v>
      </c>
    </row>
    <row r="28" ht="16.5" spans="1:7">
      <c r="A28" s="8" t="s">
        <v>3231</v>
      </c>
      <c r="B28" s="9">
        <v>549.2</v>
      </c>
      <c r="C28" s="10">
        <v>274.7</v>
      </c>
      <c r="D28" s="11">
        <v>5.24</v>
      </c>
      <c r="E28" s="12">
        <v>89.1</v>
      </c>
      <c r="F28" s="12">
        <v>96.9</v>
      </c>
      <c r="G28" s="9">
        <v>25120017</v>
      </c>
    </row>
    <row r="29" ht="16.5" spans="1:7">
      <c r="A29" s="8" t="s">
        <v>3232</v>
      </c>
      <c r="B29" s="9">
        <v>428.8</v>
      </c>
      <c r="C29" s="10">
        <v>242.2</v>
      </c>
      <c r="D29" s="11">
        <v>5.13</v>
      </c>
      <c r="E29" s="12">
        <v>82.1</v>
      </c>
      <c r="F29" s="12">
        <v>93.1</v>
      </c>
      <c r="G29" s="9">
        <v>25120018</v>
      </c>
    </row>
    <row r="30" ht="16.5" spans="1:7">
      <c r="A30" s="18" t="s">
        <v>3233</v>
      </c>
      <c r="B30" s="14">
        <v>479.8</v>
      </c>
      <c r="C30" s="15">
        <v>113.8</v>
      </c>
      <c r="D30" s="16">
        <v>2.93</v>
      </c>
      <c r="E30" s="17">
        <v>92.4</v>
      </c>
      <c r="F30" s="17">
        <v>98.5</v>
      </c>
      <c r="G30" s="14">
        <v>24100183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4 B10:C10 C11 B12:C12 C13 C19 C6:C9 B14:C18 B20:C30"/>
  </dataValidations>
  <pageMargins left="0.75" right="0.75" top="1" bottom="1" header="0.5" footer="0.5"/>
  <pageSetup paperSize="9" orientation="portrait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H19" sqref="H19"/>
    </sheetView>
  </sheetViews>
  <sheetFormatPr defaultColWidth="9" defaultRowHeight="13.5" outlineLevelRow="4" outlineLevelCol="6"/>
  <cols>
    <col min="1" max="1" width="15.625" customWidth="1"/>
    <col min="7" max="7" width="9.375"/>
  </cols>
  <sheetData>
    <row r="1" ht="16.5" spans="1:7">
      <c r="A1" s="1">
        <v>1213</v>
      </c>
      <c r="B1" s="2">
        <f>SUM(B3:B28)</f>
        <v>10173</v>
      </c>
      <c r="C1" s="3" cm="1">
        <f t="array" ref="C1">SUMPRODUCT(C3:C28*B3:B28)/B1</f>
        <v>241.936254792097</v>
      </c>
      <c r="D1" s="4" cm="1">
        <f t="array" ref="D1">SUMPRODUCT(B3:B28*D3:D28)/B1</f>
        <v>4.86003912316917</v>
      </c>
      <c r="E1" s="3" cm="1">
        <f t="array" ref="E1">SUMPRODUCT(B3:B28*E3:E28)/B1</f>
        <v>80.6164710508208</v>
      </c>
      <c r="F1" s="3" cm="1">
        <f t="array" ref="F1">SUMPRODUCT(B3:B28*F3:F28)/B1</f>
        <v>93.7174107932763</v>
      </c>
    </row>
    <row r="2" ht="16.5" spans="1:7">
      <c r="A2" s="5">
        <v>220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20">
        <v>20250604</v>
      </c>
      <c r="B3" s="19">
        <v>9000</v>
      </c>
      <c r="C3" s="20">
        <v>245</v>
      </c>
      <c r="D3" s="20">
        <v>4.91</v>
      </c>
      <c r="E3" s="20">
        <v>80.5</v>
      </c>
      <c r="F3" s="20">
        <v>93.7</v>
      </c>
      <c r="G3" s="60"/>
    </row>
    <row r="4" ht="16.5" spans="1:7">
      <c r="A4" s="39" t="s">
        <v>3234</v>
      </c>
      <c r="B4" s="9">
        <v>684.4</v>
      </c>
      <c r="C4" s="10">
        <v>232.3</v>
      </c>
      <c r="D4" s="11">
        <v>4.61</v>
      </c>
      <c r="E4" s="12">
        <v>87.3</v>
      </c>
      <c r="F4" s="12">
        <v>97.1</v>
      </c>
      <c r="G4" s="9">
        <v>25100098</v>
      </c>
    </row>
    <row r="5" ht="16.5" spans="1:7">
      <c r="A5" s="8" t="s">
        <v>3235</v>
      </c>
      <c r="B5" s="9">
        <v>488.6</v>
      </c>
      <c r="C5" s="10">
        <v>199</v>
      </c>
      <c r="D5" s="11">
        <v>4.29</v>
      </c>
      <c r="E5" s="12">
        <v>73.4</v>
      </c>
      <c r="F5" s="12">
        <v>89.3</v>
      </c>
      <c r="G5" s="9">
        <v>25120042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4:C5"/>
  </dataValidations>
  <pageMargins left="0.75" right="0.75" top="1" bottom="1" header="0.5" footer="0.5"/>
  <pageSetup paperSize="9" orientation="portrait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L21" sqref="L21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1214</v>
      </c>
      <c r="B1" s="2">
        <f>SUM(B3:B32)</f>
        <v>10002</v>
      </c>
      <c r="C1" s="3" cm="1">
        <f t="array" ref="C1">SUMPRODUCT(C3:C32*B3:B32)/B1</f>
        <v>182.368106070896</v>
      </c>
      <c r="D1" s="4" cm="1">
        <f t="array" ref="D1">SUMPRODUCT(B3:B32*D3:D32)/B1</f>
        <v>3.88605711490635</v>
      </c>
      <c r="E1" s="3" cm="1">
        <f t="array" ref="E1">SUMPRODUCT(B3:B32*E3:E32)/B1</f>
        <v>81.2263648007963</v>
      </c>
      <c r="F1" s="3" cm="1">
        <f t="array" ref="F1">SUMPRODUCT(B3:B32*F3:F32)/B1</f>
        <v>94.4288981860575</v>
      </c>
      <c r="G1" s="3" cm="1">
        <f t="array" ref="G1">SUMPRODUCT(B3:B32*G3:G32)/B1</f>
        <v>11.7146399720056</v>
      </c>
    </row>
    <row r="2" ht="16.5" spans="1:8">
      <c r="A2" s="5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54" t="s">
        <v>3236</v>
      </c>
      <c r="B3" s="9">
        <v>557.8</v>
      </c>
      <c r="C3" s="10">
        <v>264</v>
      </c>
      <c r="D3" s="11">
        <v>4.41</v>
      </c>
      <c r="E3" s="12">
        <v>88.6</v>
      </c>
      <c r="F3" s="12">
        <v>96.9</v>
      </c>
      <c r="G3" s="11">
        <v>11.48</v>
      </c>
      <c r="H3" s="9">
        <v>24070263</v>
      </c>
    </row>
    <row r="4" ht="16.5" spans="1:8">
      <c r="A4" s="54" t="s">
        <v>3237</v>
      </c>
      <c r="B4" s="9">
        <v>515.4</v>
      </c>
      <c r="C4" s="10">
        <v>121.2</v>
      </c>
      <c r="D4" s="11">
        <v>2.93</v>
      </c>
      <c r="E4" s="12">
        <v>73.6</v>
      </c>
      <c r="F4" s="12">
        <v>89.5</v>
      </c>
      <c r="G4" s="11">
        <v>11.71</v>
      </c>
      <c r="H4" s="9">
        <v>24090035</v>
      </c>
    </row>
    <row r="5" ht="16.5" spans="1:8">
      <c r="A5" s="54" t="s">
        <v>3238</v>
      </c>
      <c r="B5" s="9">
        <v>514</v>
      </c>
      <c r="C5" s="10">
        <v>120.2</v>
      </c>
      <c r="D5" s="11">
        <v>2.87</v>
      </c>
      <c r="E5" s="12">
        <v>73.6</v>
      </c>
      <c r="F5" s="12">
        <v>89.3</v>
      </c>
      <c r="G5" s="8">
        <v>11.54</v>
      </c>
      <c r="H5" s="9">
        <v>24090036</v>
      </c>
    </row>
    <row r="6" ht="16.5" spans="1:8">
      <c r="A6" s="54" t="s">
        <v>3239</v>
      </c>
      <c r="B6" s="9">
        <v>515.4</v>
      </c>
      <c r="C6" s="10">
        <v>118.3</v>
      </c>
      <c r="D6" s="11">
        <v>2.93</v>
      </c>
      <c r="E6" s="12">
        <v>79.7</v>
      </c>
      <c r="F6" s="12">
        <v>92.4</v>
      </c>
      <c r="G6" s="11">
        <v>12.82</v>
      </c>
      <c r="H6" s="9">
        <v>24090111</v>
      </c>
    </row>
    <row r="7" ht="16.5" spans="1:8">
      <c r="A7" s="19">
        <v>2510003</v>
      </c>
      <c r="B7" s="19">
        <v>275</v>
      </c>
      <c r="C7" s="1">
        <v>173.4</v>
      </c>
      <c r="D7" s="1">
        <v>3.94</v>
      </c>
      <c r="E7" s="2">
        <v>79</v>
      </c>
      <c r="F7" s="2">
        <v>94</v>
      </c>
      <c r="G7" s="51">
        <v>12.63</v>
      </c>
      <c r="H7" s="60"/>
    </row>
    <row r="8" ht="16.5" spans="1:8">
      <c r="A8" s="19">
        <v>20240928</v>
      </c>
      <c r="B8" s="19">
        <v>25</v>
      </c>
      <c r="C8" s="19"/>
      <c r="D8" s="19"/>
      <c r="E8" s="19"/>
      <c r="F8" s="19"/>
      <c r="G8" s="60"/>
      <c r="H8" s="60"/>
    </row>
    <row r="9" ht="16.5" spans="1:8">
      <c r="A9" s="19">
        <v>20240814</v>
      </c>
      <c r="B9" s="19">
        <v>112</v>
      </c>
      <c r="C9" s="51">
        <v>153.65</v>
      </c>
      <c r="D9" s="61">
        <v>3.665</v>
      </c>
      <c r="E9" s="1">
        <v>77.5</v>
      </c>
      <c r="F9" s="1">
        <v>92.9</v>
      </c>
      <c r="G9" s="19">
        <v>11.9</v>
      </c>
      <c r="H9" s="60"/>
    </row>
    <row r="10" ht="16.5" spans="1:8">
      <c r="A10" s="19">
        <v>20240818</v>
      </c>
      <c r="B10" s="19">
        <v>159</v>
      </c>
      <c r="C10" s="1">
        <v>108.4</v>
      </c>
      <c r="D10" s="1">
        <v>2.95</v>
      </c>
      <c r="E10" s="2">
        <v>77.5</v>
      </c>
      <c r="F10" s="2">
        <v>93</v>
      </c>
      <c r="G10" s="51">
        <v>12.14</v>
      </c>
      <c r="H10" s="60"/>
    </row>
    <row r="11" ht="16.5" spans="1:8">
      <c r="A11" s="19">
        <v>20240810</v>
      </c>
      <c r="B11" s="19">
        <v>89</v>
      </c>
      <c r="C11" s="1">
        <v>269.5</v>
      </c>
      <c r="D11" s="1">
        <v>4.52</v>
      </c>
      <c r="E11" s="2">
        <v>86.4</v>
      </c>
      <c r="F11" s="2">
        <v>96.3</v>
      </c>
      <c r="G11" s="51">
        <v>11.07</v>
      </c>
      <c r="H11" s="60"/>
    </row>
    <row r="12" ht="16.5" spans="1:8">
      <c r="A12" s="19">
        <v>20240822</v>
      </c>
      <c r="B12" s="19">
        <v>225</v>
      </c>
      <c r="C12" s="1">
        <v>105.6</v>
      </c>
      <c r="D12" s="1">
        <v>2.89</v>
      </c>
      <c r="E12" s="2">
        <v>75</v>
      </c>
      <c r="F12" s="2">
        <v>91.4</v>
      </c>
      <c r="G12" s="51">
        <v>13.06</v>
      </c>
      <c r="H12" s="60"/>
    </row>
    <row r="13" ht="16.5" spans="1:8">
      <c r="A13" s="19">
        <v>20241144</v>
      </c>
      <c r="B13" s="19">
        <v>189</v>
      </c>
      <c r="C13" s="1">
        <v>259.5</v>
      </c>
      <c r="D13" s="1">
        <v>4.54</v>
      </c>
      <c r="E13" s="2">
        <v>80</v>
      </c>
      <c r="F13" s="2">
        <v>94.5</v>
      </c>
      <c r="G13" s="51">
        <v>10.8</v>
      </c>
      <c r="H13" s="60"/>
    </row>
    <row r="14" ht="16.5" spans="1:8">
      <c r="A14" s="19">
        <v>20241127</v>
      </c>
      <c r="B14" s="19">
        <v>527</v>
      </c>
      <c r="C14" s="1">
        <v>183.3</v>
      </c>
      <c r="D14" s="1">
        <v>3.94</v>
      </c>
      <c r="E14" s="2">
        <v>78.9</v>
      </c>
      <c r="F14" s="2">
        <v>93.9</v>
      </c>
      <c r="G14" s="51">
        <v>11.6</v>
      </c>
      <c r="H14" s="60"/>
    </row>
    <row r="15" ht="16.5" spans="1:8">
      <c r="A15" s="19">
        <v>20241232</v>
      </c>
      <c r="B15" s="19">
        <v>194.6</v>
      </c>
      <c r="C15" s="1">
        <v>256.6</v>
      </c>
      <c r="D15" s="1">
        <v>4.71</v>
      </c>
      <c r="E15" s="2">
        <v>87.6</v>
      </c>
      <c r="F15" s="2">
        <v>96.4</v>
      </c>
      <c r="G15" s="51">
        <v>11.41</v>
      </c>
      <c r="H15" s="60"/>
    </row>
    <row r="16" ht="16.5" spans="1:8">
      <c r="A16" s="19">
        <v>20250501</v>
      </c>
      <c r="B16" s="19">
        <v>367</v>
      </c>
      <c r="C16" s="1">
        <v>178.3</v>
      </c>
      <c r="D16" s="1">
        <v>4.06</v>
      </c>
      <c r="E16" s="2">
        <v>79.7</v>
      </c>
      <c r="F16" s="2">
        <v>95.1</v>
      </c>
      <c r="G16" s="51">
        <f>(G14+G15)/2</f>
        <v>11.505</v>
      </c>
      <c r="H16" s="60"/>
    </row>
    <row r="17" ht="16.5" spans="1:8">
      <c r="A17" s="19">
        <v>20251209</v>
      </c>
      <c r="B17" s="19">
        <v>81</v>
      </c>
      <c r="C17" s="62">
        <v>259.870826186392</v>
      </c>
      <c r="D17" s="63">
        <v>4.89497855917667</v>
      </c>
      <c r="E17" s="62">
        <v>86.6498856489423</v>
      </c>
      <c r="F17" s="62">
        <v>95.8876500857633</v>
      </c>
      <c r="G17" s="51">
        <v>9.78</v>
      </c>
      <c r="H17" s="60"/>
    </row>
    <row r="18" ht="16.5" spans="1:8">
      <c r="A18" s="19">
        <v>20251204</v>
      </c>
      <c r="B18" s="19">
        <v>175</v>
      </c>
      <c r="C18" s="1">
        <v>181.4</v>
      </c>
      <c r="D18" s="1">
        <v>3.94</v>
      </c>
      <c r="E18" s="2">
        <v>84.1</v>
      </c>
      <c r="F18" s="2">
        <v>96.1</v>
      </c>
      <c r="G18" s="51">
        <v>12</v>
      </c>
      <c r="H18" s="60"/>
    </row>
    <row r="19" ht="16.5" spans="1:8">
      <c r="A19" s="19">
        <v>20251206</v>
      </c>
      <c r="B19" s="19">
        <v>19</v>
      </c>
      <c r="C19" s="1">
        <v>174.9</v>
      </c>
      <c r="D19" s="1">
        <v>3.89</v>
      </c>
      <c r="E19" s="2">
        <v>83</v>
      </c>
      <c r="F19" s="2">
        <v>94.8</v>
      </c>
      <c r="G19" s="51">
        <v>11.34</v>
      </c>
      <c r="H19" s="60"/>
    </row>
    <row r="20" ht="16.5" spans="1:8">
      <c r="A20" s="19">
        <v>20251208</v>
      </c>
      <c r="B20" s="19">
        <v>136</v>
      </c>
      <c r="C20" s="1">
        <v>176.2</v>
      </c>
      <c r="D20" s="1">
        <v>3.99</v>
      </c>
      <c r="E20" s="2">
        <v>80.1</v>
      </c>
      <c r="F20" s="2">
        <v>94.2</v>
      </c>
      <c r="G20" s="51">
        <v>13.27</v>
      </c>
      <c r="H20" s="60"/>
    </row>
    <row r="21" ht="16.5" spans="1:8">
      <c r="A21" s="64">
        <v>20250806</v>
      </c>
      <c r="B21" s="19">
        <v>3000</v>
      </c>
      <c r="C21" s="64">
        <v>240</v>
      </c>
      <c r="D21" s="64">
        <v>4.81</v>
      </c>
      <c r="E21" s="64">
        <v>86</v>
      </c>
      <c r="F21" s="64">
        <v>96.8</v>
      </c>
      <c r="G21" s="19">
        <v>11.4</v>
      </c>
      <c r="H21" s="60"/>
    </row>
    <row r="22" ht="16.5" spans="1:8">
      <c r="A22" s="8" t="s">
        <v>3240</v>
      </c>
      <c r="B22" s="9">
        <v>556.2</v>
      </c>
      <c r="C22" s="10">
        <v>138</v>
      </c>
      <c r="D22" s="11">
        <v>3.34</v>
      </c>
      <c r="E22" s="12">
        <v>79</v>
      </c>
      <c r="F22" s="12">
        <v>94.3</v>
      </c>
      <c r="G22" s="11">
        <v>11.63</v>
      </c>
      <c r="H22" s="9">
        <v>25120112</v>
      </c>
    </row>
    <row r="23" ht="16.5" spans="1:8">
      <c r="A23" s="8" t="s">
        <v>3241</v>
      </c>
      <c r="B23" s="9">
        <v>564.6</v>
      </c>
      <c r="C23" s="10">
        <v>137.1</v>
      </c>
      <c r="D23" s="11">
        <v>3.31</v>
      </c>
      <c r="E23" s="12">
        <v>79</v>
      </c>
      <c r="F23" s="12">
        <v>94.3</v>
      </c>
      <c r="G23" s="11">
        <v>11.64</v>
      </c>
      <c r="H23" s="9">
        <v>25120113</v>
      </c>
    </row>
    <row r="24" ht="16.5" spans="1:8">
      <c r="A24" s="8" t="s">
        <v>3242</v>
      </c>
      <c r="B24" s="9">
        <v>424.4</v>
      </c>
      <c r="C24" s="10">
        <v>132.5</v>
      </c>
      <c r="D24" s="11">
        <v>3.24</v>
      </c>
      <c r="E24" s="12">
        <v>78.9</v>
      </c>
      <c r="F24" s="12">
        <v>94.5</v>
      </c>
      <c r="G24" s="11">
        <v>11.51</v>
      </c>
      <c r="H24" s="9">
        <v>25120114</v>
      </c>
    </row>
    <row r="25" ht="16.5" spans="1:8">
      <c r="A25" s="8" t="s">
        <v>3243</v>
      </c>
      <c r="B25" s="9">
        <v>216</v>
      </c>
      <c r="C25" s="10">
        <v>131.4</v>
      </c>
      <c r="D25" s="11">
        <v>3.28</v>
      </c>
      <c r="E25" s="12">
        <v>78.5</v>
      </c>
      <c r="F25" s="12">
        <v>94</v>
      </c>
      <c r="G25" s="11">
        <v>11.53</v>
      </c>
      <c r="H25" s="9">
        <v>25120115</v>
      </c>
    </row>
    <row r="26" ht="16.5" spans="1:8">
      <c r="A26" s="39" t="s">
        <v>3244</v>
      </c>
      <c r="B26" s="9">
        <v>311.2</v>
      </c>
      <c r="C26" s="10">
        <v>110.7</v>
      </c>
      <c r="D26" s="11">
        <v>2.8</v>
      </c>
      <c r="E26" s="12">
        <v>81.7</v>
      </c>
      <c r="F26" s="12">
        <v>96.8</v>
      </c>
      <c r="G26" s="11">
        <v>12.27</v>
      </c>
      <c r="H26" s="9">
        <v>25040312</v>
      </c>
    </row>
    <row r="27" ht="16.5" spans="1:8">
      <c r="A27" s="39" t="s">
        <v>3245</v>
      </c>
      <c r="B27" s="9">
        <v>253.4</v>
      </c>
      <c r="C27" s="10">
        <v>108</v>
      </c>
      <c r="D27" s="11">
        <v>2.93</v>
      </c>
      <c r="E27" s="12">
        <v>76</v>
      </c>
      <c r="F27" s="12">
        <v>93.8</v>
      </c>
      <c r="G27" s="11">
        <v>14.16</v>
      </c>
      <c r="H27" s="9">
        <v>25050008</v>
      </c>
    </row>
  </sheetData>
  <conditionalFormatting sqref="G5">
    <cfRule type="containsText" dxfId="6" priority="20" operator="between" text="3级">
      <formula>NOT(ISERROR(SEARCH("3级",G5)))</formula>
    </cfRule>
    <cfRule type="containsText" dxfId="5" priority="19" operator="between" text="4级">
      <formula>NOT(ISERROR(SEARCH("4级",G5)))</formula>
    </cfRule>
  </conditionalFormatting>
  <conditionalFormatting sqref="G7">
    <cfRule type="expression" dxfId="2" priority="2">
      <formula>AND(MOD(ROW(),2)=1,$A7&lt;&gt;"")</formula>
    </cfRule>
    <cfRule type="expression" dxfId="4" priority="1">
      <formula>$N7&gt;$AX7</formula>
    </cfRule>
  </conditionalFormatting>
  <conditionalFormatting sqref="A1:A2">
    <cfRule type="duplicateValues" dxfId="0" priority="21"/>
  </conditionalFormatting>
  <dataValidations count="1">
    <dataValidation allowBlank="1" showInputMessage="1" showErrorMessage="1" sqref="C7 C9:F9 G16 C10:C16 C18:C20 B3:C6 B22:C27"/>
  </dataValidations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3" sqref="A3:A26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1215</v>
      </c>
      <c r="B1" s="2">
        <f>SUM(B3:B28)</f>
        <v>10035.2</v>
      </c>
      <c r="C1" s="3" cm="1">
        <f t="array" ref="C1">SUMPRODUCT(C3:C28*B3:B28)/B1</f>
        <v>226.875392617985</v>
      </c>
      <c r="D1" s="4" cm="1">
        <f t="array" ref="D1">SUMPRODUCT(B3:B28*D3:D28)/B1</f>
        <v>4.87165318080357</v>
      </c>
      <c r="E1" s="3" cm="1">
        <f t="array" ref="E1">SUMPRODUCT(B3:B28*E3:E28)/B1</f>
        <v>81.3590999681122</v>
      </c>
      <c r="F1" s="3" cm="1">
        <f t="array" ref="F1">SUMPRODUCT(B3:B28*F3:F28)/B1</f>
        <v>93.5547253667092</v>
      </c>
    </row>
    <row r="2" ht="16.5" spans="1:7">
      <c r="A2" s="5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13" t="s">
        <v>3246</v>
      </c>
      <c r="B3" s="14">
        <v>533.6</v>
      </c>
      <c r="C3" s="15">
        <v>264.4</v>
      </c>
      <c r="D3" s="16">
        <v>5.79</v>
      </c>
      <c r="E3" s="17">
        <v>84</v>
      </c>
      <c r="F3" s="17">
        <v>94.7</v>
      </c>
      <c r="G3" s="14">
        <v>25120081</v>
      </c>
    </row>
    <row r="4" ht="16.5" spans="1:7">
      <c r="A4" s="13" t="s">
        <v>3247</v>
      </c>
      <c r="B4" s="14">
        <v>188.8</v>
      </c>
      <c r="C4" s="15">
        <v>195.9</v>
      </c>
      <c r="D4" s="16">
        <v>4.57</v>
      </c>
      <c r="E4" s="17">
        <v>80.2</v>
      </c>
      <c r="F4" s="17">
        <v>93.1</v>
      </c>
      <c r="G4" s="14">
        <v>25120083</v>
      </c>
    </row>
    <row r="5" ht="16.5" spans="1:7">
      <c r="A5" s="13" t="s">
        <v>3172</v>
      </c>
      <c r="B5" s="14">
        <v>290.2</v>
      </c>
      <c r="C5" s="15">
        <v>188.2</v>
      </c>
      <c r="D5" s="16">
        <v>4.41</v>
      </c>
      <c r="E5" s="17">
        <v>80.3</v>
      </c>
      <c r="F5" s="17">
        <v>93.3</v>
      </c>
      <c r="G5" s="14">
        <v>25120085</v>
      </c>
    </row>
    <row r="6" ht="16.5" spans="1:7">
      <c r="A6" s="13" t="s">
        <v>3248</v>
      </c>
      <c r="B6" s="14">
        <v>289.6</v>
      </c>
      <c r="C6" s="15">
        <v>255.7</v>
      </c>
      <c r="D6" s="16">
        <v>5.38</v>
      </c>
      <c r="E6" s="17">
        <v>77.6</v>
      </c>
      <c r="F6" s="17">
        <v>91.3</v>
      </c>
      <c r="G6" s="14">
        <v>25120039</v>
      </c>
    </row>
    <row r="7" ht="16.5" spans="1:7">
      <c r="A7" s="13" t="s">
        <v>3249</v>
      </c>
      <c r="B7" s="14">
        <v>527.8</v>
      </c>
      <c r="C7" s="15">
        <v>265.6</v>
      </c>
      <c r="D7" s="16">
        <v>5.9</v>
      </c>
      <c r="E7" s="17">
        <v>84.1</v>
      </c>
      <c r="F7" s="17">
        <v>94.9</v>
      </c>
      <c r="G7" s="14">
        <v>25120082</v>
      </c>
    </row>
    <row r="8" ht="16.5" spans="1:7">
      <c r="A8" s="13" t="s">
        <v>3250</v>
      </c>
      <c r="B8" s="14">
        <v>491.4</v>
      </c>
      <c r="C8" s="15">
        <v>209.3</v>
      </c>
      <c r="D8" s="16">
        <v>4.55</v>
      </c>
      <c r="E8" s="17">
        <v>77</v>
      </c>
      <c r="F8" s="17">
        <v>90.4</v>
      </c>
      <c r="G8" s="14">
        <v>25120102</v>
      </c>
    </row>
    <row r="9" ht="16.5" spans="1:7">
      <c r="A9" s="13" t="s">
        <v>3251</v>
      </c>
      <c r="B9" s="14">
        <v>512</v>
      </c>
      <c r="C9" s="15">
        <v>205</v>
      </c>
      <c r="D9" s="16">
        <v>4.52</v>
      </c>
      <c r="E9" s="17">
        <v>77.1</v>
      </c>
      <c r="F9" s="17">
        <v>91</v>
      </c>
      <c r="G9" s="14">
        <v>25120103</v>
      </c>
    </row>
    <row r="10" ht="16.5" spans="1:7">
      <c r="A10" s="13" t="s">
        <v>3252</v>
      </c>
      <c r="B10" s="14">
        <v>401.6</v>
      </c>
      <c r="C10" s="15">
        <v>241.8</v>
      </c>
      <c r="D10" s="16">
        <v>5.38</v>
      </c>
      <c r="E10" s="17">
        <v>81.9</v>
      </c>
      <c r="F10" s="17">
        <v>93.9</v>
      </c>
      <c r="G10" s="14">
        <v>25110040</v>
      </c>
    </row>
    <row r="11" ht="16.5" spans="1:7">
      <c r="A11" s="13" t="s">
        <v>3253</v>
      </c>
      <c r="B11" s="14">
        <v>497.2</v>
      </c>
      <c r="C11" s="15">
        <v>195.4</v>
      </c>
      <c r="D11" s="16">
        <v>4.43</v>
      </c>
      <c r="E11" s="17">
        <v>77.8</v>
      </c>
      <c r="F11" s="17">
        <v>91.6</v>
      </c>
      <c r="G11" s="14">
        <v>25120104</v>
      </c>
    </row>
    <row r="12" ht="16.5" spans="1:7">
      <c r="A12" s="13" t="s">
        <v>3254</v>
      </c>
      <c r="B12" s="14">
        <v>420</v>
      </c>
      <c r="C12" s="15">
        <v>277.5</v>
      </c>
      <c r="D12" s="16">
        <v>5.44</v>
      </c>
      <c r="E12" s="17">
        <v>89.2</v>
      </c>
      <c r="F12" s="17">
        <v>96.5</v>
      </c>
      <c r="G12" s="14">
        <v>25120078</v>
      </c>
    </row>
    <row r="13" ht="16.5" spans="1:7">
      <c r="A13" s="13" t="s">
        <v>3255</v>
      </c>
      <c r="B13" s="14">
        <v>514.6</v>
      </c>
      <c r="C13" s="15">
        <v>185.8</v>
      </c>
      <c r="D13" s="16">
        <v>4.2</v>
      </c>
      <c r="E13" s="17">
        <v>78.4</v>
      </c>
      <c r="F13" s="17">
        <v>92.3</v>
      </c>
      <c r="G13" s="14">
        <v>25120105</v>
      </c>
    </row>
    <row r="14" ht="16.5" spans="1:7">
      <c r="A14" s="13" t="s">
        <v>3256</v>
      </c>
      <c r="B14" s="14">
        <v>519.2</v>
      </c>
      <c r="C14" s="15">
        <v>185.7</v>
      </c>
      <c r="D14" s="16">
        <v>4.2</v>
      </c>
      <c r="E14" s="17">
        <v>78.8</v>
      </c>
      <c r="F14" s="17">
        <v>92.5</v>
      </c>
      <c r="G14" s="14">
        <v>25120106</v>
      </c>
    </row>
    <row r="15" ht="16.5" spans="1:7">
      <c r="A15" s="13" t="s">
        <v>3257</v>
      </c>
      <c r="B15" s="14">
        <v>533.6</v>
      </c>
      <c r="C15" s="15">
        <v>268.6</v>
      </c>
      <c r="D15" s="16">
        <v>5.24</v>
      </c>
      <c r="E15" s="17">
        <v>84</v>
      </c>
      <c r="F15" s="17">
        <v>94.5</v>
      </c>
      <c r="G15" s="14">
        <v>25120036</v>
      </c>
    </row>
    <row r="16" ht="16.5" spans="1:7">
      <c r="A16" s="13" t="s">
        <v>3258</v>
      </c>
      <c r="B16" s="14">
        <v>297.6</v>
      </c>
      <c r="C16" s="15">
        <v>175.1</v>
      </c>
      <c r="D16" s="16">
        <v>4.17</v>
      </c>
      <c r="E16" s="17">
        <v>79.6</v>
      </c>
      <c r="F16" s="17">
        <v>93.2</v>
      </c>
      <c r="G16" s="14">
        <v>25120108</v>
      </c>
    </row>
    <row r="17" ht="16.5" spans="1:7">
      <c r="A17" s="13" t="s">
        <v>3259</v>
      </c>
      <c r="B17" s="14">
        <v>164.8</v>
      </c>
      <c r="C17" s="15">
        <v>181.7</v>
      </c>
      <c r="D17" s="16">
        <v>4.2</v>
      </c>
      <c r="E17" s="17">
        <v>79</v>
      </c>
      <c r="F17" s="17">
        <v>92.9</v>
      </c>
      <c r="G17" s="14">
        <v>25120107</v>
      </c>
    </row>
    <row r="18" ht="16.5" spans="1:7">
      <c r="A18" s="13" t="s">
        <v>3260</v>
      </c>
      <c r="B18" s="14">
        <v>218.4</v>
      </c>
      <c r="C18" s="15">
        <v>294.4</v>
      </c>
      <c r="D18" s="16">
        <v>5</v>
      </c>
      <c r="E18" s="17">
        <v>91.9</v>
      </c>
      <c r="F18" s="17">
        <v>98.1</v>
      </c>
      <c r="G18" s="14">
        <v>25120012</v>
      </c>
    </row>
    <row r="19" ht="16.5" spans="1:7">
      <c r="A19" s="13" t="s">
        <v>3261</v>
      </c>
      <c r="B19" s="14">
        <v>214</v>
      </c>
      <c r="C19" s="15">
        <v>297</v>
      </c>
      <c r="D19" s="16">
        <v>5.27</v>
      </c>
      <c r="E19" s="17">
        <v>91.5</v>
      </c>
      <c r="F19" s="17">
        <v>98.1</v>
      </c>
      <c r="G19" s="14">
        <v>25110033</v>
      </c>
    </row>
    <row r="20" ht="16.5" spans="1:7">
      <c r="A20" s="23" t="s">
        <v>3262</v>
      </c>
      <c r="B20" s="14">
        <v>583.8</v>
      </c>
      <c r="C20" s="15">
        <v>255</v>
      </c>
      <c r="D20" s="16">
        <v>4.49</v>
      </c>
      <c r="E20" s="17">
        <v>93.8</v>
      </c>
      <c r="F20" s="17">
        <v>99.3</v>
      </c>
      <c r="G20" s="14">
        <v>25100211</v>
      </c>
    </row>
    <row r="21" ht="16.5" spans="1:7">
      <c r="A21" s="13" t="s">
        <v>3263</v>
      </c>
      <c r="B21" s="14">
        <v>414.8</v>
      </c>
      <c r="C21" s="15">
        <v>264.5</v>
      </c>
      <c r="D21" s="16">
        <v>5.3</v>
      </c>
      <c r="E21" s="17">
        <v>82</v>
      </c>
      <c r="F21" s="17">
        <v>93.6</v>
      </c>
      <c r="G21" s="14">
        <v>25120037</v>
      </c>
    </row>
    <row r="22" ht="16.5" spans="1:7">
      <c r="A22" s="13" t="s">
        <v>3264</v>
      </c>
      <c r="B22" s="14">
        <v>614.4</v>
      </c>
      <c r="C22" s="15">
        <v>170.9</v>
      </c>
      <c r="D22" s="16">
        <v>4.11</v>
      </c>
      <c r="E22" s="17">
        <v>80</v>
      </c>
      <c r="F22" s="17">
        <v>93.6</v>
      </c>
      <c r="G22" s="14">
        <v>25120109</v>
      </c>
    </row>
    <row r="23" ht="16.5" spans="1:7">
      <c r="A23" s="13" t="s">
        <v>3265</v>
      </c>
      <c r="B23" s="14">
        <v>498.8</v>
      </c>
      <c r="C23" s="15">
        <v>258.3</v>
      </c>
      <c r="D23" s="16">
        <v>5.41</v>
      </c>
      <c r="E23" s="17">
        <v>78</v>
      </c>
      <c r="F23" s="17">
        <v>91.4</v>
      </c>
      <c r="G23" s="14">
        <v>25120038</v>
      </c>
    </row>
    <row r="24" ht="16.5" spans="1:7">
      <c r="A24" s="13" t="s">
        <v>3266</v>
      </c>
      <c r="B24" s="14">
        <v>547.2</v>
      </c>
      <c r="C24" s="15">
        <v>162.1</v>
      </c>
      <c r="D24" s="16">
        <v>3.91</v>
      </c>
      <c r="E24" s="17">
        <v>79.9</v>
      </c>
      <c r="F24" s="17">
        <v>93.5</v>
      </c>
      <c r="G24" s="14">
        <v>25120110</v>
      </c>
    </row>
    <row r="25" ht="16.5" spans="1:7">
      <c r="A25" s="49" t="s">
        <v>2712</v>
      </c>
      <c r="B25" s="14">
        <v>761.8</v>
      </c>
      <c r="C25" s="15">
        <v>242.6</v>
      </c>
      <c r="D25" s="16">
        <v>5.66</v>
      </c>
      <c r="E25" s="17">
        <v>74.8</v>
      </c>
      <c r="F25" s="17">
        <v>91.7</v>
      </c>
      <c r="G25" s="14">
        <v>25060299</v>
      </c>
    </row>
  </sheetData>
  <conditionalFormatting sqref="A1:A25 A27:A1048576">
    <cfRule type="duplicateValues" dxfId="0" priority="4"/>
  </conditionalFormatting>
  <dataValidations count="1">
    <dataValidation allowBlank="1" showInputMessage="1" showErrorMessage="1" sqref="B3:C25"/>
  </dataValidations>
  <pageMargins left="0.75" right="0.75" top="1" bottom="1" header="0.5" footer="0.5"/>
  <pageSetup paperSize="9" orientation="portrait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34" sqref="E34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1216</v>
      </c>
      <c r="B1" s="2">
        <f>SUM(B3:B28)</f>
        <v>10012.4</v>
      </c>
      <c r="C1" s="3" cm="1">
        <f t="array" ref="C1">SUMPRODUCT(C3:C28*B3:B28)/B1</f>
        <v>257.989576924613</v>
      </c>
      <c r="D1" s="4" cm="1">
        <f t="array" ref="D1">SUMPRODUCT(B3:B28*D3:D28)/B1</f>
        <v>4.85031021533299</v>
      </c>
      <c r="E1" s="3" cm="1">
        <f t="array" ref="E1">SUMPRODUCT(B3:B28*E3:E28)/B1</f>
        <v>88.0577164316248</v>
      </c>
      <c r="F1" s="3" cm="1">
        <f t="array" ref="F1">SUMPRODUCT(B3:B28*F3:F28)/B1</f>
        <v>97.2958791099037</v>
      </c>
    </row>
    <row r="2" ht="16.5" spans="1:7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58">
        <v>20250806</v>
      </c>
      <c r="B3" s="59">
        <v>6000</v>
      </c>
      <c r="C3" s="58">
        <v>240</v>
      </c>
      <c r="D3" s="58">
        <v>4.81</v>
      </c>
      <c r="E3" s="58">
        <v>86</v>
      </c>
      <c r="F3" s="58">
        <v>96.8</v>
      </c>
    </row>
    <row r="4" ht="16.5" spans="1:7">
      <c r="A4" s="39" t="s">
        <v>3267</v>
      </c>
      <c r="B4" s="9">
        <v>490.4</v>
      </c>
      <c r="C4" s="10">
        <v>285.4</v>
      </c>
      <c r="D4" s="11">
        <v>4.89</v>
      </c>
      <c r="E4" s="12">
        <v>88.1</v>
      </c>
      <c r="F4" s="12">
        <v>97.5</v>
      </c>
      <c r="G4" s="9">
        <v>24120331</v>
      </c>
    </row>
    <row r="5" ht="16.5" spans="1:7">
      <c r="A5" s="54" t="s">
        <v>3268</v>
      </c>
      <c r="B5" s="9">
        <v>179.6</v>
      </c>
      <c r="C5" s="10">
        <v>300</v>
      </c>
      <c r="D5" s="11">
        <v>4.82</v>
      </c>
      <c r="E5" s="12">
        <v>88.4</v>
      </c>
      <c r="F5" s="12">
        <v>96.8</v>
      </c>
      <c r="G5" s="9">
        <v>25100012</v>
      </c>
    </row>
    <row r="6" ht="16.5" spans="1:7">
      <c r="A6" s="8" t="s">
        <v>3269</v>
      </c>
      <c r="B6" s="9">
        <v>412.2</v>
      </c>
      <c r="C6" s="10">
        <v>281.2</v>
      </c>
      <c r="D6" s="11">
        <v>5.27</v>
      </c>
      <c r="E6" s="12">
        <v>91.6</v>
      </c>
      <c r="F6" s="12">
        <v>98.5</v>
      </c>
      <c r="G6" s="9">
        <v>25110008</v>
      </c>
    </row>
    <row r="7" ht="16.5" spans="1:7">
      <c r="A7" s="8" t="s">
        <v>3270</v>
      </c>
      <c r="B7" s="9">
        <v>547.6</v>
      </c>
      <c r="C7" s="10">
        <v>285.4</v>
      </c>
      <c r="D7" s="11">
        <v>4.86</v>
      </c>
      <c r="E7" s="12">
        <v>92.4</v>
      </c>
      <c r="F7" s="12">
        <v>98.5</v>
      </c>
      <c r="G7" s="9">
        <v>25120032</v>
      </c>
    </row>
    <row r="8" ht="16.5" spans="1:7">
      <c r="A8" s="8" t="s">
        <v>3271</v>
      </c>
      <c r="B8" s="9">
        <v>224.4</v>
      </c>
      <c r="C8" s="10">
        <v>285.6</v>
      </c>
      <c r="D8" s="11">
        <v>4.82</v>
      </c>
      <c r="E8" s="12">
        <v>91.3</v>
      </c>
      <c r="F8" s="12">
        <v>97.6</v>
      </c>
      <c r="G8" s="9">
        <v>25120051</v>
      </c>
    </row>
    <row r="9" ht="16.5" spans="1:7">
      <c r="A9" s="8" t="s">
        <v>3272</v>
      </c>
      <c r="B9" s="9">
        <v>572.8</v>
      </c>
      <c r="C9" s="10">
        <v>295.3</v>
      </c>
      <c r="D9" s="11">
        <v>4.82</v>
      </c>
      <c r="E9" s="12">
        <v>93.4</v>
      </c>
      <c r="F9" s="12">
        <v>98.9</v>
      </c>
      <c r="G9" s="9">
        <v>25120074</v>
      </c>
    </row>
    <row r="10" ht="16.5" spans="1:7">
      <c r="A10" s="8" t="s">
        <v>3273</v>
      </c>
      <c r="B10" s="9">
        <v>566.4</v>
      </c>
      <c r="C10" s="10">
        <v>296.9</v>
      </c>
      <c r="D10" s="11">
        <v>4.86</v>
      </c>
      <c r="E10" s="12">
        <v>93.5</v>
      </c>
      <c r="F10" s="12">
        <v>98.9</v>
      </c>
      <c r="G10" s="9">
        <v>25120075</v>
      </c>
    </row>
    <row r="11" ht="16.5" spans="1:7">
      <c r="A11" s="8" t="s">
        <v>3274</v>
      </c>
      <c r="B11" s="9">
        <v>463.6</v>
      </c>
      <c r="C11" s="10">
        <v>295.1</v>
      </c>
      <c r="D11" s="11">
        <v>4.89</v>
      </c>
      <c r="E11" s="12">
        <v>93.4</v>
      </c>
      <c r="F11" s="12">
        <v>98.9</v>
      </c>
      <c r="G11" s="9">
        <v>25120076</v>
      </c>
    </row>
    <row r="12" ht="16.5" spans="1:7">
      <c r="A12" s="8" t="s">
        <v>3275</v>
      </c>
      <c r="B12" s="9">
        <v>555.4</v>
      </c>
      <c r="C12" s="10">
        <v>250</v>
      </c>
      <c r="D12" s="11">
        <v>4.94</v>
      </c>
      <c r="E12" s="12">
        <v>86.4</v>
      </c>
      <c r="F12" s="12">
        <v>95.8</v>
      </c>
      <c r="G12" s="9">
        <v>25120001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8 B4:C7 B9:C12"/>
  </dataValidations>
  <pageMargins left="0.75" right="0.75" top="1" bottom="1" header="0.5" footer="0.5"/>
  <pageSetup paperSize="9" orientation="portrait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G30" sqref="G30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1217</v>
      </c>
      <c r="B1" s="2">
        <f>SUM(B3:B32)</f>
        <v>10630.8</v>
      </c>
      <c r="C1" s="3" cm="1">
        <f t="array" ref="C1">SUMPRODUCT(C3:C32*B3:B32)/B1</f>
        <v>178.643870640027</v>
      </c>
      <c r="D1" s="4" cm="1">
        <f t="array" ref="D1">SUMPRODUCT(B3:B32*D3:D32)/B1</f>
        <v>3.88214546412311</v>
      </c>
      <c r="E1" s="3" cm="1">
        <f t="array" ref="E1">SUMPRODUCT(B3:B32*E3:E32)/B1</f>
        <v>84.374048989728</v>
      </c>
      <c r="F1" s="3" cm="1">
        <f t="array" ref="F1">SUMPRODUCT(B3:B32*F3:F32)/B1</f>
        <v>94.9820954208526</v>
      </c>
      <c r="G1" s="3" cm="1">
        <f t="array" ref="G1">SUMPRODUCT(B3:B32*G3:G32)/B1</f>
        <v>11.8221516724988</v>
      </c>
    </row>
    <row r="2" ht="16.5" spans="1:8">
      <c r="A2" s="5">
        <v>160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8" t="s">
        <v>3276</v>
      </c>
      <c r="B3" s="9">
        <v>527.4</v>
      </c>
      <c r="C3" s="10">
        <v>179.1</v>
      </c>
      <c r="D3" s="11">
        <v>3.85</v>
      </c>
      <c r="E3" s="12">
        <v>83.2</v>
      </c>
      <c r="F3" s="12">
        <v>94.5</v>
      </c>
      <c r="G3" s="11">
        <v>10.78</v>
      </c>
      <c r="H3" s="14">
        <v>25120068</v>
      </c>
    </row>
    <row r="4" ht="16.5" spans="1:8">
      <c r="A4" s="8" t="s">
        <v>3277</v>
      </c>
      <c r="B4" s="9">
        <v>501.8</v>
      </c>
      <c r="C4" s="10">
        <v>180.4</v>
      </c>
      <c r="D4" s="11">
        <v>3.82</v>
      </c>
      <c r="E4" s="12">
        <v>83.3</v>
      </c>
      <c r="F4" s="12">
        <v>94.6</v>
      </c>
      <c r="G4" s="11">
        <v>10.67</v>
      </c>
      <c r="H4" s="14">
        <v>25120069</v>
      </c>
    </row>
    <row r="5" ht="16.5" spans="1:8">
      <c r="A5" s="8" t="s">
        <v>3278</v>
      </c>
      <c r="B5" s="9">
        <v>543</v>
      </c>
      <c r="C5" s="10">
        <v>183.9</v>
      </c>
      <c r="D5" s="11">
        <v>3.82</v>
      </c>
      <c r="E5" s="12">
        <v>83.3</v>
      </c>
      <c r="F5" s="12">
        <v>94.5</v>
      </c>
      <c r="G5" s="11">
        <v>10.88</v>
      </c>
      <c r="H5" s="14">
        <v>25120070</v>
      </c>
    </row>
    <row r="6" ht="16.5" spans="1:8">
      <c r="A6" s="8" t="s">
        <v>3279</v>
      </c>
      <c r="B6" s="9">
        <v>497.8</v>
      </c>
      <c r="C6" s="10">
        <v>193.7</v>
      </c>
      <c r="D6" s="11">
        <v>3.77</v>
      </c>
      <c r="E6" s="12">
        <v>84.1</v>
      </c>
      <c r="F6" s="12">
        <v>94.8</v>
      </c>
      <c r="G6" s="11">
        <v>10.84</v>
      </c>
      <c r="H6" s="14">
        <v>25120071</v>
      </c>
    </row>
    <row r="7" ht="16.5" spans="1:8">
      <c r="A7" s="8" t="s">
        <v>3280</v>
      </c>
      <c r="B7" s="9">
        <v>84.4</v>
      </c>
      <c r="C7" s="10">
        <v>196.8</v>
      </c>
      <c r="D7" s="11">
        <v>3.8</v>
      </c>
      <c r="E7" s="12">
        <v>84.3</v>
      </c>
      <c r="F7" s="12">
        <v>94.9</v>
      </c>
      <c r="G7" s="11">
        <v>11.08</v>
      </c>
      <c r="H7" s="14">
        <v>25120072</v>
      </c>
    </row>
    <row r="8" ht="16.5" spans="1:8">
      <c r="A8" s="54" t="s">
        <v>3281</v>
      </c>
      <c r="B8" s="9">
        <v>509.4</v>
      </c>
      <c r="C8" s="10">
        <v>102.8</v>
      </c>
      <c r="D8" s="11">
        <v>2.77</v>
      </c>
      <c r="E8" s="12">
        <v>87.7</v>
      </c>
      <c r="F8" s="12">
        <v>96.2</v>
      </c>
      <c r="G8" s="11">
        <v>14.62</v>
      </c>
      <c r="H8" s="24">
        <v>24090170</v>
      </c>
    </row>
    <row r="9" ht="16.5" spans="1:8">
      <c r="A9" s="8" t="s">
        <v>3282</v>
      </c>
      <c r="B9" s="9">
        <v>577.2</v>
      </c>
      <c r="C9" s="10">
        <v>142</v>
      </c>
      <c r="D9" s="11">
        <v>3.49</v>
      </c>
      <c r="E9" s="12">
        <v>80</v>
      </c>
      <c r="F9" s="12">
        <v>93.7</v>
      </c>
      <c r="G9" s="11">
        <v>11.39</v>
      </c>
      <c r="H9" s="14">
        <v>25120087</v>
      </c>
    </row>
    <row r="10" ht="16.5" spans="1:8">
      <c r="A10" s="8" t="s">
        <v>3283</v>
      </c>
      <c r="B10" s="9">
        <v>487.8</v>
      </c>
      <c r="C10" s="10">
        <v>222.5</v>
      </c>
      <c r="D10" s="11">
        <v>4.72</v>
      </c>
      <c r="E10" s="12">
        <v>90.8</v>
      </c>
      <c r="F10" s="12">
        <v>98.4</v>
      </c>
      <c r="G10" s="11">
        <v>12.2</v>
      </c>
      <c r="H10" s="14">
        <v>25120117</v>
      </c>
    </row>
    <row r="11" ht="16.5" spans="1:8">
      <c r="A11" s="54" t="s">
        <v>3284</v>
      </c>
      <c r="B11" s="9">
        <v>499.4</v>
      </c>
      <c r="C11" s="10">
        <v>108.3</v>
      </c>
      <c r="D11" s="11">
        <v>2.87</v>
      </c>
      <c r="E11" s="12">
        <v>87.2</v>
      </c>
      <c r="F11" s="12">
        <v>95.8</v>
      </c>
      <c r="G11" s="11">
        <v>14.5</v>
      </c>
      <c r="H11" s="24">
        <v>24090168</v>
      </c>
    </row>
    <row r="12" ht="16.5" spans="1:8">
      <c r="A12" s="8" t="s">
        <v>3285</v>
      </c>
      <c r="B12" s="9">
        <v>480.4</v>
      </c>
      <c r="C12" s="10">
        <v>227.2</v>
      </c>
      <c r="D12" s="11">
        <v>4.66</v>
      </c>
      <c r="E12" s="12">
        <v>91.7</v>
      </c>
      <c r="F12" s="12">
        <v>98.4</v>
      </c>
      <c r="G12" s="11">
        <v>11.99</v>
      </c>
      <c r="H12" s="14">
        <v>25120121</v>
      </c>
    </row>
    <row r="13" ht="16.5" spans="1:8">
      <c r="A13" s="54" t="s">
        <v>3286</v>
      </c>
      <c r="B13" s="9">
        <v>519.6</v>
      </c>
      <c r="C13" s="10">
        <v>106.5</v>
      </c>
      <c r="D13" s="11">
        <v>2.83</v>
      </c>
      <c r="E13" s="12">
        <v>87.4</v>
      </c>
      <c r="F13" s="12">
        <v>95.9</v>
      </c>
      <c r="G13" s="11">
        <v>14.48</v>
      </c>
      <c r="H13" s="24">
        <v>24090169</v>
      </c>
    </row>
    <row r="14" ht="16.5" spans="1:8">
      <c r="A14" s="8" t="s">
        <v>3287</v>
      </c>
      <c r="B14" s="9">
        <v>517.6</v>
      </c>
      <c r="C14" s="10">
        <v>222.3</v>
      </c>
      <c r="D14" s="11">
        <v>4.69</v>
      </c>
      <c r="E14" s="12">
        <v>89.6</v>
      </c>
      <c r="F14" s="12">
        <v>97.3</v>
      </c>
      <c r="G14" s="11">
        <v>11.88</v>
      </c>
      <c r="H14" s="14">
        <v>25120125</v>
      </c>
    </row>
    <row r="15" ht="16.5" spans="1:8">
      <c r="A15" s="8" t="s">
        <v>3288</v>
      </c>
      <c r="B15" s="9">
        <v>521</v>
      </c>
      <c r="C15" s="10">
        <v>144.1</v>
      </c>
      <c r="D15" s="11">
        <v>3.4</v>
      </c>
      <c r="E15" s="12">
        <v>78.8</v>
      </c>
      <c r="F15" s="12">
        <v>93.3</v>
      </c>
      <c r="G15" s="11">
        <v>11.33</v>
      </c>
      <c r="H15" s="14">
        <v>25120089</v>
      </c>
    </row>
    <row r="16" ht="16.5" spans="1:8">
      <c r="A16" s="8" t="s">
        <v>3289</v>
      </c>
      <c r="B16" s="9">
        <v>456.4</v>
      </c>
      <c r="C16" s="10">
        <v>225.7</v>
      </c>
      <c r="D16" s="11">
        <v>4.69</v>
      </c>
      <c r="E16" s="12">
        <v>89.5</v>
      </c>
      <c r="F16" s="12">
        <v>97</v>
      </c>
      <c r="G16" s="11">
        <v>11.17</v>
      </c>
      <c r="H16" s="14">
        <v>25120129</v>
      </c>
    </row>
    <row r="17" ht="16.5" spans="1:8">
      <c r="A17" s="8" t="s">
        <v>3290</v>
      </c>
      <c r="B17" s="9">
        <v>360.8</v>
      </c>
      <c r="C17" s="10">
        <v>142.1</v>
      </c>
      <c r="D17" s="11">
        <v>3.36</v>
      </c>
      <c r="E17" s="12">
        <v>78.6</v>
      </c>
      <c r="F17" s="12">
        <v>93.2</v>
      </c>
      <c r="G17" s="11">
        <v>11.33</v>
      </c>
      <c r="H17" s="14">
        <v>25120090</v>
      </c>
    </row>
    <row r="18" ht="16.5" spans="1:8">
      <c r="A18" s="8" t="s">
        <v>3291</v>
      </c>
      <c r="B18" s="9">
        <v>699.6</v>
      </c>
      <c r="C18" s="10">
        <v>224.3</v>
      </c>
      <c r="D18" s="11">
        <v>4.55</v>
      </c>
      <c r="E18" s="12">
        <v>82.8</v>
      </c>
      <c r="F18" s="12">
        <v>93.4</v>
      </c>
      <c r="G18" s="11">
        <v>11.93</v>
      </c>
      <c r="H18" s="14">
        <v>25120133</v>
      </c>
    </row>
    <row r="19" ht="16.5" spans="1:8">
      <c r="A19" s="8" t="s">
        <v>3292</v>
      </c>
      <c r="B19" s="9">
        <v>364.8</v>
      </c>
      <c r="C19" s="10">
        <v>146.3</v>
      </c>
      <c r="D19" s="11">
        <v>3.36</v>
      </c>
      <c r="E19" s="12">
        <v>78.9</v>
      </c>
      <c r="F19" s="12">
        <v>93.3</v>
      </c>
      <c r="G19" s="11">
        <v>11.35</v>
      </c>
      <c r="H19" s="14">
        <v>25120091</v>
      </c>
    </row>
    <row r="20" ht="16.5" spans="1:8">
      <c r="A20" s="8" t="s">
        <v>3293</v>
      </c>
      <c r="B20" s="9">
        <v>630.8</v>
      </c>
      <c r="C20" s="10">
        <v>220.1</v>
      </c>
      <c r="D20" s="11">
        <v>4.52</v>
      </c>
      <c r="E20" s="12">
        <v>82.5</v>
      </c>
      <c r="F20" s="12">
        <v>93.2</v>
      </c>
      <c r="G20" s="11">
        <v>11.49</v>
      </c>
      <c r="H20" s="14">
        <v>25120134</v>
      </c>
    </row>
    <row r="21" ht="16.5" spans="1:8">
      <c r="A21" s="55" t="s">
        <v>3294</v>
      </c>
      <c r="B21" s="56">
        <v>573</v>
      </c>
      <c r="C21" s="12">
        <v>145.9</v>
      </c>
      <c r="D21" s="57">
        <v>3.49</v>
      </c>
      <c r="E21" s="12">
        <v>83.6</v>
      </c>
      <c r="F21" s="12">
        <v>95.1</v>
      </c>
      <c r="G21" s="57">
        <v>11.01</v>
      </c>
      <c r="H21" s="14">
        <v>25120065</v>
      </c>
    </row>
    <row r="22" ht="16.5" spans="1:8">
      <c r="A22" s="39" t="s">
        <v>3068</v>
      </c>
      <c r="B22" s="9">
        <v>569.6</v>
      </c>
      <c r="C22" s="10">
        <v>237.1</v>
      </c>
      <c r="D22" s="11">
        <v>4.46</v>
      </c>
      <c r="E22" s="12">
        <v>87.6</v>
      </c>
      <c r="F22" s="12">
        <v>96.4</v>
      </c>
      <c r="G22" s="11">
        <v>11.23</v>
      </c>
      <c r="H22" s="53">
        <v>25100197</v>
      </c>
    </row>
    <row r="23" ht="16.5" spans="1:8">
      <c r="A23" s="19">
        <v>20251125</v>
      </c>
      <c r="B23" s="19">
        <v>709</v>
      </c>
      <c r="C23" s="19">
        <v>180</v>
      </c>
      <c r="D23" s="19">
        <v>3.99</v>
      </c>
      <c r="E23" s="2">
        <v>78.6</v>
      </c>
      <c r="F23" s="2">
        <v>92.3</v>
      </c>
      <c r="G23" s="19">
        <v>11.6</v>
      </c>
    </row>
  </sheetData>
  <conditionalFormatting sqref="E23:F23">
    <cfRule type="expression" dxfId="2" priority="4">
      <formula>AND(MOD(ROW(),2)=1,#REF!&lt;&gt;"")</formula>
    </cfRule>
  </conditionalFormatting>
  <conditionalFormatting sqref="E23">
    <cfRule type="expression" dxfId="4" priority="2">
      <formula>$B23&lt;$AM23</formula>
    </cfRule>
  </conditionalFormatting>
  <conditionalFormatting sqref="F23">
    <cfRule type="expression" dxfId="4" priority="1">
      <formula>$C23&lt;$AN23</formula>
    </cfRule>
    <cfRule type="expression" dxfId="1" priority="3">
      <formula>F23:F26&lt;AQ23:AQ771</formula>
    </cfRule>
  </conditionalFormatting>
  <conditionalFormatting sqref="A1:A2">
    <cfRule type="duplicateValues" dxfId="0" priority="9"/>
  </conditionalFormatting>
  <dataValidations count="1">
    <dataValidation allowBlank="1" showInputMessage="1" showErrorMessage="1" sqref="B21 B22:C22 B3:C20"/>
  </dataValidations>
  <pageMargins left="0.75" right="0.75" top="1" bottom="1" header="0.5" footer="0.5"/>
  <pageSetup paperSize="9" orientation="portrait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B1" sqref="B1:G2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1218</v>
      </c>
      <c r="B1" s="2">
        <f>SUM(B3:B32)</f>
        <v>10098.4</v>
      </c>
      <c r="C1" s="3" cm="1">
        <f t="array" ref="C1">SUMPRODUCT(C3:C32*B3:B32)/B1</f>
        <v>160.541341202567</v>
      </c>
      <c r="D1" s="4" cm="1">
        <f t="array" ref="D1">SUMPRODUCT(B3:B32*D3:D32)/B1</f>
        <v>3.70922958092371</v>
      </c>
      <c r="E1" s="3" cm="1">
        <f t="array" ref="E1">SUMPRODUCT(B3:B32*E3:E32)/B1</f>
        <v>79.1440960944308</v>
      </c>
      <c r="F1" s="3" cm="1">
        <f t="array" ref="F1">SUMPRODUCT(B3:B32*F3:F32)/B1</f>
        <v>93.4161510734374</v>
      </c>
      <c r="G1" s="3" cm="1">
        <f t="array" ref="G1">SUMPRODUCT(B3:B32*G3:G32)/B1</f>
        <v>11.6993216747207</v>
      </c>
    </row>
    <row r="2" ht="16.5" spans="1:8">
      <c r="A2" s="5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19">
        <v>20241222</v>
      </c>
      <c r="B3" s="19">
        <v>270</v>
      </c>
      <c r="C3" s="1">
        <v>112.8</v>
      </c>
      <c r="D3" s="1">
        <v>2.82</v>
      </c>
      <c r="E3" s="2">
        <v>73.2</v>
      </c>
      <c r="F3" s="2">
        <v>92.4</v>
      </c>
      <c r="G3" s="19">
        <v>12.5</v>
      </c>
    </row>
    <row r="4" ht="16.5" spans="1:8">
      <c r="A4" s="19">
        <v>20250301</v>
      </c>
      <c r="B4" s="19">
        <v>100</v>
      </c>
      <c r="C4" s="1">
        <v>179.3</v>
      </c>
      <c r="D4" s="1">
        <v>4.11</v>
      </c>
      <c r="E4" s="2">
        <v>78.4</v>
      </c>
      <c r="F4" s="2">
        <v>93.8</v>
      </c>
      <c r="G4" s="51">
        <v>11.23</v>
      </c>
    </row>
    <row r="5" ht="16.5" spans="1:8">
      <c r="A5" s="19">
        <v>20240212</v>
      </c>
      <c r="B5" s="19">
        <v>100</v>
      </c>
      <c r="C5" s="1">
        <v>165.4</v>
      </c>
      <c r="D5" s="1">
        <v>3.58</v>
      </c>
      <c r="E5" s="2">
        <v>73.1</v>
      </c>
      <c r="F5" s="2">
        <v>90.3</v>
      </c>
      <c r="G5" s="51">
        <v>11.51</v>
      </c>
    </row>
    <row r="6" ht="16.5" spans="1:8">
      <c r="A6" s="1">
        <v>20251212</v>
      </c>
      <c r="B6" s="19">
        <v>40</v>
      </c>
      <c r="C6" s="1">
        <v>237</v>
      </c>
      <c r="D6" s="1">
        <v>4.8</v>
      </c>
      <c r="E6" s="2">
        <v>87</v>
      </c>
      <c r="F6" s="2">
        <v>96.4</v>
      </c>
      <c r="G6" s="51">
        <v>11.24</v>
      </c>
    </row>
    <row r="7" ht="16.5" spans="1:8">
      <c r="A7" s="1">
        <v>20251213</v>
      </c>
      <c r="B7" s="19">
        <v>116</v>
      </c>
      <c r="C7" s="1">
        <v>241.7</v>
      </c>
      <c r="D7" s="1">
        <v>4.86</v>
      </c>
      <c r="E7" s="2">
        <v>81.5</v>
      </c>
      <c r="F7" s="2">
        <v>94.7</v>
      </c>
      <c r="G7" s="51">
        <v>11.66</v>
      </c>
    </row>
    <row r="8" ht="16.5" spans="1:8">
      <c r="A8" s="19">
        <v>20251211</v>
      </c>
      <c r="B8" s="19">
        <v>92</v>
      </c>
      <c r="C8" s="1">
        <v>137</v>
      </c>
      <c r="D8" s="1">
        <v>3.38</v>
      </c>
      <c r="E8" s="2">
        <v>80.9</v>
      </c>
      <c r="F8" s="2">
        <v>95.4</v>
      </c>
      <c r="G8" s="51">
        <v>12.18</v>
      </c>
    </row>
    <row r="9" ht="16.5" spans="1:8">
      <c r="A9" s="20">
        <v>20250806</v>
      </c>
      <c r="B9" s="52">
        <v>1000</v>
      </c>
      <c r="C9" s="20">
        <v>240</v>
      </c>
      <c r="D9" s="20">
        <v>4.81</v>
      </c>
      <c r="E9" s="20">
        <v>86</v>
      </c>
      <c r="F9" s="20">
        <v>96.8</v>
      </c>
      <c r="G9" s="51">
        <v>11.38</v>
      </c>
    </row>
    <row r="10" ht="16.5" spans="1:8">
      <c r="A10" s="13" t="s">
        <v>3295</v>
      </c>
      <c r="B10" s="14">
        <v>521</v>
      </c>
      <c r="C10" s="15">
        <v>168.3</v>
      </c>
      <c r="D10" s="16">
        <v>3.82</v>
      </c>
      <c r="E10" s="17">
        <v>84.1</v>
      </c>
      <c r="F10" s="17">
        <v>95.6</v>
      </c>
      <c r="G10" s="16">
        <v>11.38</v>
      </c>
      <c r="H10" s="14">
        <v>25110044</v>
      </c>
    </row>
    <row r="11" ht="16.5" spans="1:8">
      <c r="A11" s="13" t="s">
        <v>3296</v>
      </c>
      <c r="B11" s="14">
        <v>514.4</v>
      </c>
      <c r="C11" s="15">
        <v>159.8</v>
      </c>
      <c r="D11" s="16">
        <v>3.53</v>
      </c>
      <c r="E11" s="17">
        <v>84.7</v>
      </c>
      <c r="F11" s="17">
        <v>96</v>
      </c>
      <c r="G11" s="16">
        <v>10.97</v>
      </c>
      <c r="H11" s="14">
        <v>25120029</v>
      </c>
    </row>
    <row r="12" ht="16.5" spans="1:8">
      <c r="A12" s="23" t="s">
        <v>3297</v>
      </c>
      <c r="B12" s="14">
        <v>544.2</v>
      </c>
      <c r="C12" s="15">
        <v>92.1</v>
      </c>
      <c r="D12" s="16">
        <v>3.06</v>
      </c>
      <c r="E12" s="17">
        <v>73.3</v>
      </c>
      <c r="F12" s="17">
        <v>92.8</v>
      </c>
      <c r="G12" s="16">
        <v>12.31</v>
      </c>
      <c r="H12" s="14">
        <v>24040375</v>
      </c>
    </row>
    <row r="13" ht="16.5" spans="1:8">
      <c r="A13" s="23" t="s">
        <v>3298</v>
      </c>
      <c r="B13" s="14">
        <v>559.4</v>
      </c>
      <c r="C13" s="15">
        <v>90.2</v>
      </c>
      <c r="D13" s="16">
        <v>2.9</v>
      </c>
      <c r="E13" s="17">
        <v>61.8</v>
      </c>
      <c r="F13" s="17">
        <v>86.5</v>
      </c>
      <c r="G13" s="16">
        <v>11.13</v>
      </c>
      <c r="H13" s="14">
        <v>24050093</v>
      </c>
    </row>
    <row r="14" ht="16.5" spans="1:8">
      <c r="A14" s="13" t="s">
        <v>3299</v>
      </c>
      <c r="B14" s="14">
        <v>426.8</v>
      </c>
      <c r="C14" s="15">
        <v>225.2</v>
      </c>
      <c r="D14" s="16">
        <v>4.69</v>
      </c>
      <c r="E14" s="17">
        <v>91.6</v>
      </c>
      <c r="F14" s="17">
        <v>98.4</v>
      </c>
      <c r="G14" s="16">
        <v>11.96</v>
      </c>
      <c r="H14" s="14">
        <v>25120122</v>
      </c>
    </row>
    <row r="15" ht="16.5" spans="1:8">
      <c r="A15" s="23" t="s">
        <v>3300</v>
      </c>
      <c r="B15" s="14">
        <v>496.8</v>
      </c>
      <c r="C15" s="15">
        <v>98.1</v>
      </c>
      <c r="D15" s="16">
        <v>2.54</v>
      </c>
      <c r="E15" s="17">
        <v>59.1</v>
      </c>
      <c r="F15" s="17">
        <v>81.8</v>
      </c>
      <c r="G15" s="16">
        <v>11.43</v>
      </c>
      <c r="H15" s="14">
        <v>25010255</v>
      </c>
    </row>
    <row r="16" ht="16.5" spans="1:8">
      <c r="A16" s="23" t="s">
        <v>3301</v>
      </c>
      <c r="B16" s="14">
        <v>606.2</v>
      </c>
      <c r="C16" s="15">
        <v>100.9</v>
      </c>
      <c r="D16" s="16">
        <v>2.31</v>
      </c>
      <c r="E16" s="17">
        <v>73</v>
      </c>
      <c r="F16" s="17">
        <v>89.4</v>
      </c>
      <c r="G16" s="16">
        <v>11.61</v>
      </c>
      <c r="H16" s="14">
        <v>25100207</v>
      </c>
    </row>
    <row r="17" ht="16.5" spans="1:8">
      <c r="A17" s="13" t="s">
        <v>3302</v>
      </c>
      <c r="B17" s="14">
        <v>479.6</v>
      </c>
      <c r="C17" s="15">
        <v>229</v>
      </c>
      <c r="D17" s="16">
        <v>4.75</v>
      </c>
      <c r="E17" s="17">
        <v>91.4</v>
      </c>
      <c r="F17" s="17">
        <v>98.7</v>
      </c>
      <c r="G17" s="16">
        <v>11.79</v>
      </c>
      <c r="H17" s="53">
        <v>25120119</v>
      </c>
    </row>
    <row r="18" ht="16.5" spans="1:8">
      <c r="A18" s="13" t="s">
        <v>3303</v>
      </c>
      <c r="B18" s="14">
        <v>538.4</v>
      </c>
      <c r="C18" s="15">
        <v>119.8</v>
      </c>
      <c r="D18" s="16">
        <v>2.99</v>
      </c>
      <c r="E18" s="17">
        <v>83.5</v>
      </c>
      <c r="F18" s="17">
        <v>96.2</v>
      </c>
      <c r="G18" s="16">
        <v>11.88</v>
      </c>
      <c r="H18" s="53">
        <v>25120025</v>
      </c>
    </row>
    <row r="19" ht="16.5" spans="1:8">
      <c r="A19" s="13" t="s">
        <v>3304</v>
      </c>
      <c r="B19" s="14">
        <v>289</v>
      </c>
      <c r="C19" s="15">
        <v>226.6</v>
      </c>
      <c r="D19" s="16">
        <v>4.72</v>
      </c>
      <c r="E19" s="17">
        <v>89.3</v>
      </c>
      <c r="F19" s="17">
        <v>97</v>
      </c>
      <c r="G19" s="16">
        <v>10.68</v>
      </c>
      <c r="H19" s="53">
        <v>25120126</v>
      </c>
    </row>
    <row r="20" ht="16.5" spans="1:8">
      <c r="A20" s="23" t="s">
        <v>2351</v>
      </c>
      <c r="B20" s="14">
        <v>525.2</v>
      </c>
      <c r="C20" s="15">
        <v>112.3</v>
      </c>
      <c r="D20" s="16">
        <v>2.93</v>
      </c>
      <c r="E20" s="17">
        <v>79.6</v>
      </c>
      <c r="F20" s="17">
        <v>96.1</v>
      </c>
      <c r="G20" s="16">
        <v>11.73</v>
      </c>
      <c r="H20" s="53">
        <v>25040120</v>
      </c>
    </row>
    <row r="21" ht="16.5" spans="1:8">
      <c r="A21" s="13" t="s">
        <v>3305</v>
      </c>
      <c r="B21" s="14">
        <v>400.2</v>
      </c>
      <c r="C21" s="15">
        <v>225.5</v>
      </c>
      <c r="D21" s="16">
        <v>4.66</v>
      </c>
      <c r="E21" s="17">
        <v>91</v>
      </c>
      <c r="F21" s="17">
        <v>97.8</v>
      </c>
      <c r="G21" s="16">
        <v>11.54</v>
      </c>
      <c r="H21" s="53">
        <v>25120123</v>
      </c>
    </row>
    <row r="22" ht="16.5" spans="1:8">
      <c r="A22" s="13" t="s">
        <v>3306</v>
      </c>
      <c r="B22" s="14">
        <v>550.2</v>
      </c>
      <c r="C22" s="15">
        <v>159.5</v>
      </c>
      <c r="D22" s="16">
        <v>3.89</v>
      </c>
      <c r="E22" s="17">
        <v>79.5</v>
      </c>
      <c r="F22" s="17">
        <v>93.2</v>
      </c>
      <c r="G22" s="16">
        <v>12.04</v>
      </c>
      <c r="H22" s="53">
        <v>25120111</v>
      </c>
    </row>
    <row r="23" ht="16.5" spans="1:8">
      <c r="A23" s="23" t="s">
        <v>3307</v>
      </c>
      <c r="B23" s="14">
        <v>565.4</v>
      </c>
      <c r="C23" s="15">
        <v>95.9</v>
      </c>
      <c r="D23" s="16">
        <v>3.03</v>
      </c>
      <c r="E23" s="17">
        <v>60.5</v>
      </c>
      <c r="F23" s="17">
        <v>84.8</v>
      </c>
      <c r="G23" s="16">
        <v>12.76</v>
      </c>
      <c r="H23" s="53">
        <v>24050386</v>
      </c>
    </row>
    <row r="24" ht="16.5" spans="1:8">
      <c r="A24" s="13" t="s">
        <v>3308</v>
      </c>
      <c r="B24" s="14">
        <v>509.4</v>
      </c>
      <c r="C24" s="15">
        <v>223.4</v>
      </c>
      <c r="D24" s="16">
        <v>4.69</v>
      </c>
      <c r="E24" s="17">
        <v>90.1</v>
      </c>
      <c r="F24" s="17">
        <v>97.9</v>
      </c>
      <c r="G24" s="16">
        <v>11.77</v>
      </c>
      <c r="H24" s="53">
        <v>25120124</v>
      </c>
    </row>
    <row r="25" ht="16.5" spans="1:8">
      <c r="A25" s="23" t="s">
        <v>3309</v>
      </c>
      <c r="B25" s="14">
        <v>359.6</v>
      </c>
      <c r="C25" s="15">
        <v>95.3</v>
      </c>
      <c r="D25" s="16">
        <v>3.03</v>
      </c>
      <c r="E25" s="17">
        <v>61.6</v>
      </c>
      <c r="F25" s="17">
        <v>85.3</v>
      </c>
      <c r="G25" s="16">
        <v>12.9</v>
      </c>
      <c r="H25" s="53">
        <v>24050387</v>
      </c>
    </row>
    <row r="26" ht="16.5" spans="1:8">
      <c r="A26" s="13" t="s">
        <v>3310</v>
      </c>
      <c r="B26" s="14">
        <v>494.6</v>
      </c>
      <c r="C26" s="15">
        <v>223.6</v>
      </c>
      <c r="D26" s="16">
        <v>4.66</v>
      </c>
      <c r="E26" s="17">
        <v>90.1</v>
      </c>
      <c r="F26" s="17">
        <v>97.3</v>
      </c>
      <c r="G26" s="16">
        <v>11.09</v>
      </c>
      <c r="H26" s="53">
        <v>25120127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C3:C8 B10:C26"/>
  </dataValidations>
  <pageMargins left="0.75" right="0.75" top="1" bottom="1" header="0.5" footer="0.5"/>
  <pageSetup paperSize="9" orientation="portrait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L20" sqref="L20"/>
    </sheetView>
  </sheetViews>
  <sheetFormatPr defaultColWidth="9" defaultRowHeight="13.5" outlineLevelCol="7"/>
  <cols>
    <col min="1" max="1" width="15.625" customWidth="1"/>
    <col min="8" max="8" width="9.375"/>
  </cols>
  <sheetData>
    <row r="1" ht="16.5" spans="1:8">
      <c r="A1" s="1">
        <v>1219</v>
      </c>
      <c r="B1" s="2">
        <f>SUM(B3:B32)</f>
        <v>9349.4</v>
      </c>
      <c r="C1" s="3" cm="1">
        <f t="array" ref="C1">SUMPRODUCT(C3:C32*B3:B32)/B1</f>
        <v>161.636045093803</v>
      </c>
      <c r="D1" s="4" cm="1">
        <f t="array" ref="D1">SUMPRODUCT(B3:B32*D3:D32)/B1</f>
        <v>3.71608680770959</v>
      </c>
      <c r="E1" s="3" cm="1">
        <f t="array" ref="E1">SUMPRODUCT(B3:B32*E3:E32)/B1</f>
        <v>81.1277643485143</v>
      </c>
      <c r="F1" s="3" cm="1">
        <f t="array" ref="F1">SUMPRODUCT(B3:B32*F3:F32)/B1</f>
        <v>94.3014289687039</v>
      </c>
      <c r="G1" s="3" cm="1">
        <f t="array" ref="G1">SUMPRODUCT(B3:B32*G3:G32)/B1</f>
        <v>11.8938590711703</v>
      </c>
    </row>
    <row r="2" ht="16.5" spans="1:8">
      <c r="A2" s="5">
        <v>140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</row>
    <row r="3" ht="16.5" spans="1:8">
      <c r="A3" s="44" t="s">
        <v>3169</v>
      </c>
      <c r="B3" s="45">
        <v>222.6</v>
      </c>
      <c r="C3" s="46">
        <v>175.9</v>
      </c>
      <c r="D3" s="47">
        <v>4.17</v>
      </c>
      <c r="E3" s="46">
        <v>81.9</v>
      </c>
      <c r="F3" s="46">
        <v>93.8</v>
      </c>
      <c r="G3" s="47">
        <v>11.1</v>
      </c>
      <c r="H3" s="45">
        <v>25120021</v>
      </c>
    </row>
    <row r="4" ht="16.5" spans="1:8">
      <c r="A4" s="44" t="s">
        <v>3311</v>
      </c>
      <c r="B4" s="45">
        <v>523.4</v>
      </c>
      <c r="C4" s="46">
        <v>167</v>
      </c>
      <c r="D4" s="47">
        <v>3.99</v>
      </c>
      <c r="E4" s="46">
        <v>81.6</v>
      </c>
      <c r="F4" s="46">
        <v>94</v>
      </c>
      <c r="G4" s="47">
        <v>11.39</v>
      </c>
      <c r="H4" s="45">
        <v>25120022</v>
      </c>
    </row>
    <row r="5" ht="16.5" spans="1:8">
      <c r="A5" s="44" t="s">
        <v>3312</v>
      </c>
      <c r="B5" s="45">
        <v>272.2</v>
      </c>
      <c r="C5" s="46">
        <v>230.4</v>
      </c>
      <c r="D5" s="47">
        <v>4.75</v>
      </c>
      <c r="E5" s="46">
        <v>90.7</v>
      </c>
      <c r="F5" s="46">
        <v>98.4</v>
      </c>
      <c r="G5" s="47">
        <v>11.82</v>
      </c>
      <c r="H5" s="45">
        <v>25120116</v>
      </c>
    </row>
    <row r="6" ht="16.5" spans="1:8">
      <c r="A6" s="44" t="s">
        <v>3313</v>
      </c>
      <c r="B6" s="45">
        <v>442.2</v>
      </c>
      <c r="C6" s="46">
        <v>225.1</v>
      </c>
      <c r="D6" s="47">
        <v>4.69</v>
      </c>
      <c r="E6" s="46">
        <v>91.6</v>
      </c>
      <c r="F6" s="46">
        <v>98.8</v>
      </c>
      <c r="G6" s="47">
        <v>12.44</v>
      </c>
      <c r="H6" s="45">
        <v>25120118</v>
      </c>
    </row>
    <row r="7" ht="16.5" spans="1:8">
      <c r="A7" s="44" t="s">
        <v>3314</v>
      </c>
      <c r="B7" s="45">
        <v>485.8</v>
      </c>
      <c r="C7" s="46">
        <v>120.4</v>
      </c>
      <c r="D7" s="47">
        <v>3.03</v>
      </c>
      <c r="E7" s="46">
        <v>83.5</v>
      </c>
      <c r="F7" s="46">
        <v>96.2</v>
      </c>
      <c r="G7" s="47">
        <v>11.95</v>
      </c>
      <c r="H7" s="45">
        <v>25120026</v>
      </c>
    </row>
    <row r="8" ht="16.5" spans="1:8">
      <c r="A8" s="48" t="s">
        <v>3315</v>
      </c>
      <c r="B8" s="45">
        <v>586</v>
      </c>
      <c r="C8" s="46">
        <v>90.6</v>
      </c>
      <c r="D8" s="47">
        <v>3.03</v>
      </c>
      <c r="E8" s="46">
        <v>62.6</v>
      </c>
      <c r="F8" s="46">
        <v>83.6</v>
      </c>
      <c r="G8" s="47">
        <v>13.18</v>
      </c>
      <c r="H8" s="45">
        <v>24040267</v>
      </c>
    </row>
    <row r="9" ht="16.5" spans="1:8">
      <c r="A9" s="44" t="s">
        <v>3316</v>
      </c>
      <c r="B9" s="45">
        <v>321.6</v>
      </c>
      <c r="C9" s="46">
        <v>228.2</v>
      </c>
      <c r="D9" s="47">
        <v>4.69</v>
      </c>
      <c r="E9" s="46">
        <v>91.3</v>
      </c>
      <c r="F9" s="46">
        <v>98.5</v>
      </c>
      <c r="G9" s="47">
        <v>12.16</v>
      </c>
      <c r="H9" s="45">
        <v>25120120</v>
      </c>
    </row>
    <row r="10" ht="16.5" spans="1:8">
      <c r="A10" s="44" t="s">
        <v>3317</v>
      </c>
      <c r="B10" s="45">
        <v>405.2</v>
      </c>
      <c r="C10" s="46">
        <v>118.1</v>
      </c>
      <c r="D10" s="47">
        <v>2.93</v>
      </c>
      <c r="E10" s="46">
        <v>83.8</v>
      </c>
      <c r="F10" s="46">
        <v>96.5</v>
      </c>
      <c r="G10" s="47">
        <v>12.26</v>
      </c>
      <c r="H10" s="45">
        <v>25120027</v>
      </c>
    </row>
    <row r="11" ht="16.5" spans="1:8">
      <c r="A11" s="49" t="s">
        <v>3318</v>
      </c>
      <c r="B11" s="45">
        <v>391.8</v>
      </c>
      <c r="C11" s="46">
        <v>95.5</v>
      </c>
      <c r="D11" s="47">
        <v>2.93</v>
      </c>
      <c r="E11" s="46">
        <v>74.8</v>
      </c>
      <c r="F11" s="46">
        <v>91.6</v>
      </c>
      <c r="G11" s="47">
        <v>12.39</v>
      </c>
      <c r="H11" s="45">
        <v>24070283</v>
      </c>
    </row>
    <row r="12" ht="16.5" spans="1:8">
      <c r="A12" s="44" t="s">
        <v>3319</v>
      </c>
      <c r="B12" s="45">
        <v>328.4</v>
      </c>
      <c r="C12" s="46">
        <v>224.5</v>
      </c>
      <c r="D12" s="47">
        <v>4.63</v>
      </c>
      <c r="E12" s="46">
        <v>87.7</v>
      </c>
      <c r="F12" s="46">
        <v>96.4</v>
      </c>
      <c r="G12" s="47">
        <v>11.74</v>
      </c>
      <c r="H12" s="45">
        <v>25120132</v>
      </c>
    </row>
    <row r="13" ht="16.5" spans="1:8">
      <c r="A13" s="48" t="s">
        <v>3320</v>
      </c>
      <c r="B13" s="45">
        <v>534.2</v>
      </c>
      <c r="C13" s="46">
        <v>98.9</v>
      </c>
      <c r="D13" s="47">
        <v>2.8</v>
      </c>
      <c r="E13" s="46">
        <v>68.4</v>
      </c>
      <c r="F13" s="46">
        <v>89.5</v>
      </c>
      <c r="G13" s="47">
        <v>11.91</v>
      </c>
      <c r="H13" s="45">
        <v>25010367</v>
      </c>
    </row>
    <row r="14" ht="16.5" spans="1:8">
      <c r="A14" s="48" t="s">
        <v>3321</v>
      </c>
      <c r="B14" s="45">
        <v>529.6</v>
      </c>
      <c r="C14" s="46">
        <v>268.6</v>
      </c>
      <c r="D14" s="47">
        <v>4.8</v>
      </c>
      <c r="E14" s="46">
        <v>90.4</v>
      </c>
      <c r="F14" s="46">
        <v>98.3</v>
      </c>
      <c r="G14" s="47">
        <v>11.06</v>
      </c>
      <c r="H14" s="45">
        <v>25010094</v>
      </c>
    </row>
    <row r="15" ht="16.5" spans="1:8">
      <c r="A15" s="48" t="s">
        <v>3322</v>
      </c>
      <c r="B15" s="45">
        <v>832.8</v>
      </c>
      <c r="C15" s="46">
        <v>94.8</v>
      </c>
      <c r="D15" s="47">
        <v>2.8</v>
      </c>
      <c r="E15" s="46">
        <v>78.3</v>
      </c>
      <c r="F15" s="46">
        <v>95.5</v>
      </c>
      <c r="G15" s="47">
        <v>12.81</v>
      </c>
      <c r="H15" s="45">
        <v>25060284</v>
      </c>
    </row>
    <row r="16" ht="16.5" spans="1:8">
      <c r="A16" s="44" t="s">
        <v>3323</v>
      </c>
      <c r="B16" s="45">
        <v>413.4</v>
      </c>
      <c r="C16" s="46">
        <v>228.4</v>
      </c>
      <c r="D16" s="47">
        <v>4.69</v>
      </c>
      <c r="E16" s="46">
        <v>88.9</v>
      </c>
      <c r="F16" s="46">
        <v>97</v>
      </c>
      <c r="G16" s="47">
        <v>11.14</v>
      </c>
      <c r="H16" s="45">
        <v>25120131</v>
      </c>
    </row>
    <row r="17" ht="16.5" spans="1:8">
      <c r="A17" s="48" t="s">
        <v>3324</v>
      </c>
      <c r="B17" s="45">
        <v>500.8</v>
      </c>
      <c r="C17" s="46">
        <v>96.7</v>
      </c>
      <c r="D17" s="47">
        <v>2.61</v>
      </c>
      <c r="E17" s="46">
        <v>68.8</v>
      </c>
      <c r="F17" s="46">
        <v>89.5</v>
      </c>
      <c r="G17" s="47">
        <v>11.43</v>
      </c>
      <c r="H17" s="45">
        <v>25010423</v>
      </c>
    </row>
    <row r="18" ht="16.5" spans="1:8">
      <c r="A18" s="48" t="s">
        <v>3325</v>
      </c>
      <c r="B18" s="45">
        <v>524.8</v>
      </c>
      <c r="C18" s="46">
        <v>270.8</v>
      </c>
      <c r="D18" s="47">
        <v>4.89</v>
      </c>
      <c r="E18" s="46">
        <v>89.3</v>
      </c>
      <c r="F18" s="46">
        <v>97.6</v>
      </c>
      <c r="G18" s="47">
        <v>11.03</v>
      </c>
      <c r="H18" s="45">
        <v>25010095</v>
      </c>
    </row>
    <row r="19" ht="16.5" spans="1:8">
      <c r="A19" s="49" t="s">
        <v>3326</v>
      </c>
      <c r="B19" s="45">
        <v>551.6</v>
      </c>
      <c r="C19" s="46">
        <v>96.4</v>
      </c>
      <c r="D19" s="47">
        <v>2.87</v>
      </c>
      <c r="E19" s="46">
        <v>74.9</v>
      </c>
      <c r="F19" s="46">
        <v>91.6</v>
      </c>
      <c r="G19" s="47">
        <v>12.44</v>
      </c>
      <c r="H19" s="45">
        <v>24070281</v>
      </c>
    </row>
    <row r="20" ht="16.5" spans="1:8">
      <c r="A20" s="44" t="s">
        <v>3327</v>
      </c>
      <c r="B20" s="45">
        <v>490.4</v>
      </c>
      <c r="C20" s="46">
        <v>225.3</v>
      </c>
      <c r="D20" s="47">
        <v>4.63</v>
      </c>
      <c r="E20" s="46">
        <v>89.9</v>
      </c>
      <c r="F20" s="46">
        <v>97.2</v>
      </c>
      <c r="G20" s="47">
        <v>10.99</v>
      </c>
      <c r="H20" s="45">
        <v>25120128</v>
      </c>
    </row>
    <row r="21" ht="16.5" spans="1:8">
      <c r="A21" s="49" t="s">
        <v>3328</v>
      </c>
      <c r="B21" s="45">
        <v>537</v>
      </c>
      <c r="C21" s="46">
        <v>95</v>
      </c>
      <c r="D21" s="47">
        <v>2.96</v>
      </c>
      <c r="E21" s="46">
        <v>74.4</v>
      </c>
      <c r="F21" s="46">
        <v>91.4</v>
      </c>
      <c r="G21" s="47">
        <v>12.35</v>
      </c>
      <c r="H21" s="45">
        <v>24070282</v>
      </c>
    </row>
    <row r="22" ht="16.5" spans="1:8">
      <c r="A22" s="44" t="s">
        <v>3329</v>
      </c>
      <c r="B22" s="45">
        <v>455.6</v>
      </c>
      <c r="C22" s="46">
        <v>229.9</v>
      </c>
      <c r="D22" s="47">
        <v>4.66</v>
      </c>
      <c r="E22" s="46">
        <v>89.2</v>
      </c>
      <c r="F22" s="46">
        <v>97.1</v>
      </c>
      <c r="G22" s="47">
        <v>11.07</v>
      </c>
      <c r="H22" s="45">
        <v>25120130</v>
      </c>
    </row>
    <row r="23" spans="1:8">
      <c r="A23" s="50"/>
      <c r="B23" s="50"/>
      <c r="C23" s="50"/>
      <c r="D23" s="50"/>
      <c r="E23" s="50"/>
      <c r="F23" s="50"/>
      <c r="G23" s="50"/>
      <c r="H23" s="50"/>
    </row>
  </sheetData>
  <conditionalFormatting sqref="A1:A2">
    <cfRule type="duplicateValues" dxfId="0" priority="1"/>
  </conditionalFormatting>
  <dataValidations count="1">
    <dataValidation allowBlank="1" showInputMessage="1" showErrorMessage="1" sqref="B3:C22"/>
  </dataValidations>
  <pageMargins left="0.75" right="0.75" top="1" bottom="1" header="0.5" footer="0.5"/>
  <pageSetup paperSize="9" orientation="portrait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L17" sqref="L17"/>
    </sheetView>
  </sheetViews>
  <sheetFormatPr defaultColWidth="9" defaultRowHeight="13.5" outlineLevelCol="6"/>
  <cols>
    <col min="1" max="1" width="15.625" customWidth="1"/>
    <col min="7" max="7" width="9.375"/>
  </cols>
  <sheetData>
    <row r="1" ht="16.5" spans="1:7">
      <c r="A1" s="1">
        <v>1220</v>
      </c>
      <c r="B1" s="2">
        <f>SUM(B3:B32)</f>
        <v>10247.2</v>
      </c>
      <c r="C1" s="3" cm="1">
        <f t="array" ref="C1">SUMPRODUCT(C3:C32*B3:B32)/B1</f>
        <v>263.512727379186</v>
      </c>
      <c r="D1" s="4" cm="1">
        <f t="array" ref="D1">SUMPRODUCT(B3:B32*D3:D32)/B1</f>
        <v>4.90787493168866</v>
      </c>
      <c r="E1" s="3" cm="1">
        <f t="array" ref="E1">SUMPRODUCT(B3:B32*E3:E32)/B1</f>
        <v>88.6610000780701</v>
      </c>
      <c r="F1" s="3" cm="1">
        <f t="array" ref="F1">SUMPRODUCT(B3:B32*F3:F32)/B1</f>
        <v>97.0962545866188</v>
      </c>
    </row>
    <row r="2" ht="16.5" spans="1:7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8" t="s">
        <v>3330</v>
      </c>
      <c r="B3" s="9">
        <v>528.8</v>
      </c>
      <c r="C3" s="10">
        <v>277.3</v>
      </c>
      <c r="D3" s="11">
        <v>4.86</v>
      </c>
      <c r="E3" s="12">
        <v>91.3</v>
      </c>
      <c r="F3" s="12">
        <v>97.7</v>
      </c>
      <c r="G3" s="9">
        <v>25120052</v>
      </c>
    </row>
    <row r="4" ht="16.5" spans="1:7">
      <c r="A4" s="8" t="s">
        <v>3331</v>
      </c>
      <c r="B4" s="9">
        <v>525.8</v>
      </c>
      <c r="C4" s="10">
        <v>277.9</v>
      </c>
      <c r="D4" s="11">
        <v>4.82</v>
      </c>
      <c r="E4" s="12">
        <v>90.7</v>
      </c>
      <c r="F4" s="12">
        <v>97.9</v>
      </c>
      <c r="G4" s="9">
        <v>25120053</v>
      </c>
    </row>
    <row r="5" ht="16.5" spans="1:7">
      <c r="A5" s="33" t="s">
        <v>3332</v>
      </c>
      <c r="B5" s="34">
        <v>503.6</v>
      </c>
      <c r="C5" s="35">
        <v>245</v>
      </c>
      <c r="D5" s="36">
        <v>4.82</v>
      </c>
      <c r="E5" s="37">
        <v>91.6</v>
      </c>
      <c r="F5" s="37">
        <v>98.7</v>
      </c>
      <c r="G5" s="34">
        <v>25040472</v>
      </c>
    </row>
    <row r="6" ht="16.5" spans="1:7">
      <c r="A6" s="38" t="s">
        <v>3333</v>
      </c>
      <c r="B6" s="34">
        <v>671.8</v>
      </c>
      <c r="C6" s="35">
        <v>266.4</v>
      </c>
      <c r="D6" s="36">
        <v>4.97</v>
      </c>
      <c r="E6" s="37">
        <v>88.2</v>
      </c>
      <c r="F6" s="37">
        <v>98.2</v>
      </c>
      <c r="G6" s="34">
        <v>25100080</v>
      </c>
    </row>
    <row r="7" ht="16.5" spans="1:7">
      <c r="A7" s="39" t="s">
        <v>3334</v>
      </c>
      <c r="B7" s="9">
        <v>481</v>
      </c>
      <c r="C7" s="10">
        <v>288.8</v>
      </c>
      <c r="D7" s="11">
        <v>4.43</v>
      </c>
      <c r="E7" s="12">
        <v>92.9</v>
      </c>
      <c r="F7" s="12">
        <v>98.8</v>
      </c>
      <c r="G7" s="9">
        <v>25100273</v>
      </c>
    </row>
    <row r="8" ht="16.5" spans="1:7">
      <c r="A8" s="33" t="s">
        <v>3335</v>
      </c>
      <c r="B8" s="34">
        <v>185.8</v>
      </c>
      <c r="C8" s="35">
        <v>264.4</v>
      </c>
      <c r="D8" s="36">
        <v>4.52</v>
      </c>
      <c r="E8" s="37">
        <v>83.7</v>
      </c>
      <c r="F8" s="37">
        <v>96</v>
      </c>
      <c r="G8" s="34">
        <v>24110342</v>
      </c>
    </row>
    <row r="9" ht="16.5" spans="1:7">
      <c r="A9" s="40" t="s">
        <v>3336</v>
      </c>
      <c r="B9" s="34">
        <v>604.2</v>
      </c>
      <c r="C9" s="35">
        <v>261.6</v>
      </c>
      <c r="D9" s="36">
        <v>5.79</v>
      </c>
      <c r="E9" s="37">
        <v>87.5</v>
      </c>
      <c r="F9" s="37">
        <v>96.5</v>
      </c>
      <c r="G9" s="34">
        <v>25110022</v>
      </c>
    </row>
    <row r="10" ht="16.5" spans="1:7">
      <c r="A10" s="41" t="s">
        <v>3337</v>
      </c>
      <c r="B10" s="34">
        <v>230.6</v>
      </c>
      <c r="C10" s="35">
        <v>251</v>
      </c>
      <c r="D10" s="36">
        <v>4.34</v>
      </c>
      <c r="E10" s="37">
        <v>90.5</v>
      </c>
      <c r="F10" s="37">
        <v>97.9</v>
      </c>
      <c r="G10" s="34">
        <v>25050184</v>
      </c>
    </row>
    <row r="11" ht="16.5" spans="1:7">
      <c r="A11" s="42" t="s">
        <v>3338</v>
      </c>
      <c r="B11" s="34">
        <v>132.4</v>
      </c>
      <c r="C11" s="35">
        <v>231</v>
      </c>
      <c r="D11" s="36">
        <v>4.41</v>
      </c>
      <c r="E11" s="37">
        <v>89.4</v>
      </c>
      <c r="F11" s="37">
        <v>98</v>
      </c>
      <c r="G11" s="34">
        <v>25060050</v>
      </c>
    </row>
    <row r="12" ht="16.5" spans="1:7">
      <c r="A12" s="40" t="s">
        <v>3339</v>
      </c>
      <c r="B12" s="34">
        <v>612</v>
      </c>
      <c r="C12" s="35">
        <v>272.5</v>
      </c>
      <c r="D12" s="36">
        <v>5.76</v>
      </c>
      <c r="E12" s="37">
        <v>89.3</v>
      </c>
      <c r="F12" s="37">
        <v>97.8</v>
      </c>
      <c r="G12" s="34">
        <v>25110009</v>
      </c>
    </row>
    <row r="13" ht="16.5" spans="1:7">
      <c r="A13" s="39" t="s">
        <v>3340</v>
      </c>
      <c r="B13" s="9">
        <v>231</v>
      </c>
      <c r="C13" s="10">
        <v>251.7</v>
      </c>
      <c r="D13" s="11">
        <v>3.77</v>
      </c>
      <c r="E13" s="12">
        <v>89.8</v>
      </c>
      <c r="F13" s="12">
        <v>98.7</v>
      </c>
      <c r="G13" s="9">
        <v>25070233</v>
      </c>
    </row>
    <row r="14" ht="16.5" spans="1:7">
      <c r="A14" s="39" t="s">
        <v>3341</v>
      </c>
      <c r="B14" s="9">
        <v>392</v>
      </c>
      <c r="C14" s="10">
        <v>248.1</v>
      </c>
      <c r="D14" s="11">
        <v>3.61</v>
      </c>
      <c r="E14" s="12">
        <v>87.9</v>
      </c>
      <c r="F14" s="12">
        <v>97.9</v>
      </c>
      <c r="G14" s="9">
        <v>25070328</v>
      </c>
    </row>
    <row r="15" ht="16.5" spans="1:7">
      <c r="A15" s="39" t="s">
        <v>3342</v>
      </c>
      <c r="B15" s="9">
        <v>495.6</v>
      </c>
      <c r="C15" s="10">
        <v>271.8</v>
      </c>
      <c r="D15" s="11">
        <v>5.11</v>
      </c>
      <c r="E15" s="12">
        <v>92.7</v>
      </c>
      <c r="F15" s="12">
        <v>99</v>
      </c>
      <c r="G15" s="9">
        <v>25020294</v>
      </c>
    </row>
    <row r="16" ht="16.5" spans="1:7">
      <c r="A16" s="39" t="s">
        <v>3343</v>
      </c>
      <c r="B16" s="9">
        <v>307.4</v>
      </c>
      <c r="C16" s="10">
        <v>274.1</v>
      </c>
      <c r="D16" s="11">
        <v>4.38</v>
      </c>
      <c r="E16" s="12">
        <v>93.4</v>
      </c>
      <c r="F16" s="12">
        <v>99</v>
      </c>
      <c r="G16" s="9">
        <v>25100275</v>
      </c>
    </row>
    <row r="17" ht="16.5" spans="1:7">
      <c r="A17" s="40" t="s">
        <v>3344</v>
      </c>
      <c r="B17" s="34">
        <v>561</v>
      </c>
      <c r="C17" s="35">
        <v>278</v>
      </c>
      <c r="D17" s="36">
        <v>5.49</v>
      </c>
      <c r="E17" s="37">
        <v>81.9</v>
      </c>
      <c r="F17" s="37">
        <v>93</v>
      </c>
      <c r="G17" s="34">
        <v>25110059</v>
      </c>
    </row>
    <row r="18" ht="16.5" spans="1:7">
      <c r="A18" s="33" t="s">
        <v>3345</v>
      </c>
      <c r="B18" s="34">
        <v>463.6</v>
      </c>
      <c r="C18" s="35">
        <v>251.7</v>
      </c>
      <c r="D18" s="36">
        <v>4.57</v>
      </c>
      <c r="E18" s="37">
        <v>89.6</v>
      </c>
      <c r="F18" s="37">
        <v>97.7</v>
      </c>
      <c r="G18" s="34">
        <v>25040429</v>
      </c>
    </row>
    <row r="19" ht="16.5" spans="1:7">
      <c r="A19" s="43" t="s">
        <v>2500</v>
      </c>
      <c r="B19" s="34">
        <v>391</v>
      </c>
      <c r="C19" s="35">
        <v>257.9</v>
      </c>
      <c r="D19" s="36">
        <v>5.02</v>
      </c>
      <c r="E19" s="37">
        <v>84.3</v>
      </c>
      <c r="F19" s="37">
        <v>94.9</v>
      </c>
      <c r="G19" s="34">
        <v>25090018</v>
      </c>
    </row>
    <row r="20" ht="16.5" spans="1:7">
      <c r="A20" s="42" t="s">
        <v>3346</v>
      </c>
      <c r="B20" s="34">
        <v>838.8</v>
      </c>
      <c r="C20" s="35">
        <v>256</v>
      </c>
      <c r="D20" s="36">
        <v>4.77</v>
      </c>
      <c r="E20" s="37">
        <v>87.5</v>
      </c>
      <c r="F20" s="37">
        <v>96.4</v>
      </c>
      <c r="G20" s="34">
        <v>25060013</v>
      </c>
    </row>
    <row r="21" ht="16.5" spans="1:7">
      <c r="A21" s="38" t="s">
        <v>3347</v>
      </c>
      <c r="B21" s="34">
        <v>516.8</v>
      </c>
      <c r="C21" s="35">
        <v>254.6</v>
      </c>
      <c r="D21" s="36">
        <v>4.72</v>
      </c>
      <c r="E21" s="37">
        <v>92.8</v>
      </c>
      <c r="F21" s="37">
        <v>98.8</v>
      </c>
      <c r="G21" s="34">
        <v>25010459</v>
      </c>
    </row>
    <row r="22" ht="16.5" spans="1:7">
      <c r="A22" s="40" t="s">
        <v>3348</v>
      </c>
      <c r="B22" s="34">
        <v>561.8</v>
      </c>
      <c r="C22" s="35">
        <v>270.2</v>
      </c>
      <c r="D22" s="36">
        <v>5.55</v>
      </c>
      <c r="E22" s="37">
        <v>79.1</v>
      </c>
      <c r="F22" s="37">
        <v>91.2</v>
      </c>
      <c r="G22" s="34">
        <v>25110060</v>
      </c>
    </row>
    <row r="23" ht="16.5" spans="1:7">
      <c r="A23" s="38" t="s">
        <v>3349</v>
      </c>
      <c r="B23" s="34">
        <v>502</v>
      </c>
      <c r="C23" s="35">
        <v>246.3</v>
      </c>
      <c r="D23" s="36">
        <v>4.49</v>
      </c>
      <c r="E23" s="37">
        <v>92.1</v>
      </c>
      <c r="F23" s="37">
        <v>99</v>
      </c>
      <c r="G23" s="34">
        <v>25010545</v>
      </c>
    </row>
    <row r="24" ht="16.5" spans="1:7">
      <c r="A24" s="40" t="s">
        <v>3350</v>
      </c>
      <c r="B24" s="34">
        <v>510.2</v>
      </c>
      <c r="C24" s="35">
        <v>263.1</v>
      </c>
      <c r="D24" s="36">
        <v>5.3</v>
      </c>
      <c r="E24" s="37">
        <v>87</v>
      </c>
      <c r="F24" s="37">
        <v>96</v>
      </c>
      <c r="G24" s="34">
        <v>25110075</v>
      </c>
    </row>
  </sheetData>
  <conditionalFormatting sqref="A1:A2">
    <cfRule type="duplicateValues" dxfId="0" priority="2"/>
  </conditionalFormatting>
  <dataValidations count="1">
    <dataValidation allowBlank="1" showInputMessage="1" showErrorMessage="1" sqref="C5 B3:B4 B6:C24"/>
  </dataValidations>
  <pageMargins left="0.75" right="0.75" top="1" bottom="1" header="0.5" footer="0.5"/>
  <pageSetup paperSize="9" orientation="portrait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J29" sqref="J29"/>
    </sheetView>
  </sheetViews>
  <sheetFormatPr defaultColWidth="9" defaultRowHeight="13.5" outlineLevelCol="6"/>
  <cols>
    <col min="1" max="1" width="15.625" customWidth="1"/>
  </cols>
  <sheetData>
    <row r="1" ht="16.5" spans="1:7">
      <c r="A1" s="1">
        <v>1221</v>
      </c>
      <c r="B1" s="2">
        <f>SUM(B3:B32)</f>
        <v>10040.8</v>
      </c>
      <c r="C1" s="3" cm="1">
        <f t="array" ref="C1">SUMPRODUCT(C3:C32*B3:B32)/B1</f>
        <v>256.970484423552</v>
      </c>
      <c r="D1" s="4" cm="1">
        <f t="array" ref="D1">SUMPRODUCT(B3:B32*D3:D32)/B1</f>
        <v>4.8818221655645</v>
      </c>
      <c r="E1" s="3" cm="1">
        <f t="array" ref="E1">SUMPRODUCT(B3:B32*E3:E32)/B1</f>
        <v>87.1220022308979</v>
      </c>
      <c r="F1" s="3" cm="1">
        <f t="array" ref="F1">SUMPRODUCT(B3:B32*F3:F32)/B1</f>
        <v>96.4857063182217</v>
      </c>
      <c r="G1" s="3"/>
    </row>
    <row r="2" ht="16.5" spans="1:7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/>
    </row>
    <row r="3" ht="16.5" spans="1:7">
      <c r="A3" s="27" t="s">
        <v>3351</v>
      </c>
      <c r="B3" s="24">
        <v>472.8</v>
      </c>
      <c r="C3" s="28">
        <v>266.1</v>
      </c>
      <c r="D3" s="25">
        <v>4.46</v>
      </c>
      <c r="E3" s="29">
        <v>84</v>
      </c>
      <c r="F3" s="29">
        <v>96.2</v>
      </c>
      <c r="G3" s="24">
        <v>24110341</v>
      </c>
    </row>
    <row r="4" ht="16.5" spans="1:7">
      <c r="A4" s="30" t="s">
        <v>3352</v>
      </c>
      <c r="B4" s="24">
        <v>223.2</v>
      </c>
      <c r="C4" s="28">
        <v>260.6</v>
      </c>
      <c r="D4" s="25">
        <v>4.89</v>
      </c>
      <c r="E4" s="29">
        <v>90.6</v>
      </c>
      <c r="F4" s="29">
        <v>98.2</v>
      </c>
      <c r="G4" s="24">
        <v>25010183</v>
      </c>
    </row>
    <row r="5" ht="16.5" spans="1:7">
      <c r="A5" s="30" t="s">
        <v>3353</v>
      </c>
      <c r="B5" s="24">
        <v>362.4</v>
      </c>
      <c r="C5" s="28">
        <v>262.6</v>
      </c>
      <c r="D5" s="25">
        <v>4.86</v>
      </c>
      <c r="E5" s="29">
        <v>89.5</v>
      </c>
      <c r="F5" s="29">
        <v>97.9</v>
      </c>
      <c r="G5" s="24">
        <v>25020269</v>
      </c>
    </row>
    <row r="6" ht="16.5" spans="1:7">
      <c r="A6" s="30" t="s">
        <v>3354</v>
      </c>
      <c r="B6" s="24">
        <v>286.6</v>
      </c>
      <c r="C6" s="28">
        <v>264.7</v>
      </c>
      <c r="D6" s="25">
        <v>4.94</v>
      </c>
      <c r="E6" s="29">
        <v>88.3</v>
      </c>
      <c r="F6" s="29">
        <v>97.2</v>
      </c>
      <c r="G6" s="24">
        <v>25020417</v>
      </c>
    </row>
    <row r="7" ht="16.5" spans="1:7">
      <c r="A7" s="30" t="s">
        <v>3355</v>
      </c>
      <c r="B7" s="24">
        <v>742.4</v>
      </c>
      <c r="C7" s="28">
        <v>274.8</v>
      </c>
      <c r="D7" s="25">
        <v>4.97</v>
      </c>
      <c r="E7" s="29">
        <v>91.6</v>
      </c>
      <c r="F7" s="29">
        <v>98.7</v>
      </c>
      <c r="G7" s="24">
        <v>25030110</v>
      </c>
    </row>
    <row r="8" ht="16.5" spans="1:7">
      <c r="A8" s="30" t="s">
        <v>3356</v>
      </c>
      <c r="B8" s="24">
        <v>511.2</v>
      </c>
      <c r="C8" s="28">
        <v>257.6</v>
      </c>
      <c r="D8" s="25">
        <v>4.8</v>
      </c>
      <c r="E8" s="29">
        <v>90</v>
      </c>
      <c r="F8" s="29">
        <v>98.6</v>
      </c>
      <c r="G8" s="24">
        <v>25040016</v>
      </c>
    </row>
    <row r="9" ht="16.5" spans="1:7">
      <c r="A9" s="27" t="s">
        <v>3357</v>
      </c>
      <c r="B9" s="24">
        <v>523.8</v>
      </c>
      <c r="C9" s="28">
        <v>253.9</v>
      </c>
      <c r="D9" s="25">
        <v>3.89</v>
      </c>
      <c r="E9" s="29">
        <v>85.5</v>
      </c>
      <c r="F9" s="29">
        <v>96.7</v>
      </c>
      <c r="G9" s="24">
        <v>25040412</v>
      </c>
    </row>
    <row r="10" ht="16.5" spans="1:7">
      <c r="A10" s="27" t="s">
        <v>3358</v>
      </c>
      <c r="B10" s="24">
        <v>504</v>
      </c>
      <c r="C10" s="28">
        <v>234.8</v>
      </c>
      <c r="D10" s="25">
        <v>4.49</v>
      </c>
      <c r="E10" s="29">
        <v>85.8</v>
      </c>
      <c r="F10" s="29">
        <v>96.3</v>
      </c>
      <c r="G10" s="24">
        <v>25040455</v>
      </c>
    </row>
    <row r="11" ht="16.5" spans="1:7">
      <c r="A11" s="31" t="s">
        <v>3359</v>
      </c>
      <c r="B11" s="24">
        <v>919</v>
      </c>
      <c r="C11" s="28">
        <v>257.1</v>
      </c>
      <c r="D11" s="25">
        <v>4.77</v>
      </c>
      <c r="E11" s="29">
        <v>87.2</v>
      </c>
      <c r="F11" s="29">
        <v>96.3</v>
      </c>
      <c r="G11" s="24">
        <v>25060014</v>
      </c>
    </row>
    <row r="12" ht="16.5" spans="1:7">
      <c r="A12" s="31" t="s">
        <v>3360</v>
      </c>
      <c r="B12" s="24">
        <v>244</v>
      </c>
      <c r="C12" s="28">
        <v>232.3</v>
      </c>
      <c r="D12" s="25">
        <v>4.49</v>
      </c>
      <c r="E12" s="29">
        <v>91.2</v>
      </c>
      <c r="F12" s="29">
        <v>98.6</v>
      </c>
      <c r="G12" s="24">
        <v>25060064</v>
      </c>
    </row>
    <row r="13" ht="16.5" spans="1:7">
      <c r="A13" s="30" t="s">
        <v>3361</v>
      </c>
      <c r="B13" s="24">
        <v>385.2</v>
      </c>
      <c r="C13" s="28">
        <v>259.9</v>
      </c>
      <c r="D13" s="25">
        <v>4.44</v>
      </c>
      <c r="E13" s="29">
        <v>89.9</v>
      </c>
      <c r="F13" s="29">
        <v>97.5</v>
      </c>
      <c r="G13" s="24">
        <v>25060123</v>
      </c>
    </row>
    <row r="14" ht="16.5" spans="1:7">
      <c r="A14" s="30" t="s">
        <v>3362</v>
      </c>
      <c r="B14" s="24">
        <v>298.2</v>
      </c>
      <c r="C14" s="28">
        <v>255.2</v>
      </c>
      <c r="D14" s="25">
        <v>4.23</v>
      </c>
      <c r="E14" s="29">
        <v>89.7</v>
      </c>
      <c r="F14" s="29">
        <v>98.3</v>
      </c>
      <c r="G14" s="24">
        <v>25080005</v>
      </c>
    </row>
    <row r="15" ht="16.5" spans="1:7">
      <c r="A15" s="32" t="s">
        <v>3363</v>
      </c>
      <c r="B15" s="24">
        <v>268.6</v>
      </c>
      <c r="C15" s="28">
        <v>256.7</v>
      </c>
      <c r="D15" s="25">
        <v>5.57</v>
      </c>
      <c r="E15" s="29">
        <v>86.1</v>
      </c>
      <c r="F15" s="29">
        <v>96.5</v>
      </c>
      <c r="G15" s="24">
        <v>25110012</v>
      </c>
    </row>
    <row r="16" ht="16.5" spans="1:7">
      <c r="A16" s="32" t="s">
        <v>3364</v>
      </c>
      <c r="B16" s="24">
        <v>541.6</v>
      </c>
      <c r="C16" s="28">
        <v>274.4</v>
      </c>
      <c r="D16" s="25">
        <v>5.63</v>
      </c>
      <c r="E16" s="29">
        <v>88.9</v>
      </c>
      <c r="F16" s="29">
        <v>96.7</v>
      </c>
      <c r="G16" s="24">
        <v>25110020</v>
      </c>
    </row>
    <row r="17" ht="16.5" spans="1:7">
      <c r="A17" s="32" t="s">
        <v>3365</v>
      </c>
      <c r="B17" s="24">
        <v>424.8</v>
      </c>
      <c r="C17" s="28">
        <v>262.6</v>
      </c>
      <c r="D17" s="25">
        <v>5.57</v>
      </c>
      <c r="E17" s="29">
        <v>83.8</v>
      </c>
      <c r="F17" s="29">
        <v>94.7</v>
      </c>
      <c r="G17" s="24">
        <v>25110039</v>
      </c>
    </row>
    <row r="18" ht="16.5" spans="1:7">
      <c r="A18" s="32" t="s">
        <v>3366</v>
      </c>
      <c r="B18" s="24">
        <v>552.4</v>
      </c>
      <c r="C18" s="28">
        <v>248.7</v>
      </c>
      <c r="D18" s="25">
        <v>4.97</v>
      </c>
      <c r="E18" s="29">
        <v>86</v>
      </c>
      <c r="F18" s="29">
        <v>95.6</v>
      </c>
      <c r="G18" s="24">
        <v>25120002</v>
      </c>
    </row>
    <row r="19" ht="16.5" spans="1:7">
      <c r="A19" s="32" t="s">
        <v>3367</v>
      </c>
      <c r="B19" s="24">
        <v>494.4</v>
      </c>
      <c r="C19" s="28">
        <v>238.3</v>
      </c>
      <c r="D19" s="25">
        <v>4.82</v>
      </c>
      <c r="E19" s="29">
        <v>84.2</v>
      </c>
      <c r="F19" s="29">
        <v>94.9</v>
      </c>
      <c r="G19" s="24">
        <v>25120003</v>
      </c>
    </row>
    <row r="20" ht="16.5" spans="1:7">
      <c r="A20" s="32" t="s">
        <v>3368</v>
      </c>
      <c r="B20" s="24">
        <v>434</v>
      </c>
      <c r="C20" s="28">
        <v>237.8</v>
      </c>
      <c r="D20" s="25">
        <v>5.11</v>
      </c>
      <c r="E20" s="29">
        <v>79.3</v>
      </c>
      <c r="F20" s="29">
        <v>91.7</v>
      </c>
      <c r="G20" s="24">
        <v>25120020</v>
      </c>
    </row>
    <row r="21" ht="16.5" spans="1:7">
      <c r="A21" s="32" t="s">
        <v>3369</v>
      </c>
      <c r="B21" s="24">
        <v>529.6</v>
      </c>
      <c r="C21" s="28">
        <v>271.8</v>
      </c>
      <c r="D21" s="25">
        <v>5.22</v>
      </c>
      <c r="E21" s="29">
        <v>84.5</v>
      </c>
      <c r="F21" s="29">
        <v>94.8</v>
      </c>
      <c r="G21" s="24">
        <v>25120035</v>
      </c>
    </row>
    <row r="22" ht="16.5" spans="1:7">
      <c r="A22" s="32" t="s">
        <v>3370</v>
      </c>
      <c r="B22" s="24">
        <v>336.8</v>
      </c>
      <c r="C22" s="28">
        <v>251.7</v>
      </c>
      <c r="D22" s="25">
        <v>5.68</v>
      </c>
      <c r="E22" s="29">
        <v>80.3</v>
      </c>
      <c r="F22" s="29">
        <v>93.5</v>
      </c>
      <c r="G22" s="24">
        <v>25120059</v>
      </c>
    </row>
    <row r="23" ht="16.5" spans="1:7">
      <c r="A23" s="32" t="s">
        <v>3371</v>
      </c>
      <c r="B23" s="24">
        <v>492.4</v>
      </c>
      <c r="C23" s="28">
        <v>270</v>
      </c>
      <c r="D23" s="25">
        <v>5.44</v>
      </c>
      <c r="E23" s="29">
        <v>89.3</v>
      </c>
      <c r="F23" s="29">
        <v>96.6</v>
      </c>
      <c r="G23" s="24">
        <v>25120079</v>
      </c>
    </row>
    <row r="24" ht="16.5" spans="1:7">
      <c r="A24" s="32" t="s">
        <v>3372</v>
      </c>
      <c r="B24" s="24">
        <v>493.4</v>
      </c>
      <c r="C24" s="28">
        <v>242.8</v>
      </c>
      <c r="D24" s="25">
        <v>4.32</v>
      </c>
      <c r="E24" s="29">
        <v>91.4</v>
      </c>
      <c r="F24" s="29">
        <v>98.2</v>
      </c>
      <c r="G24" s="24">
        <v>25120142</v>
      </c>
    </row>
    <row r="25" ht="16.5" spans="1:7">
      <c r="A25" s="13"/>
      <c r="B25" s="14"/>
      <c r="C25" s="15"/>
      <c r="D25" s="16"/>
      <c r="E25" s="17"/>
      <c r="F25" s="17"/>
    </row>
    <row r="26" ht="16.5" spans="1:7">
      <c r="A26" s="13"/>
      <c r="B26" s="14"/>
      <c r="C26" s="15"/>
      <c r="D26" s="16"/>
      <c r="E26" s="17"/>
      <c r="F26" s="17"/>
    </row>
  </sheetData>
  <conditionalFormatting sqref="A1:A2">
    <cfRule type="duplicateValues" dxfId="0" priority="1"/>
  </conditionalFormatting>
  <dataValidations count="1">
    <dataValidation allowBlank="1" showInputMessage="1" showErrorMessage="1" sqref="C6 B22 B7:C21 B3:C5 B23:C26"/>
  </dataValidations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11" sqref="G11"/>
    </sheetView>
  </sheetViews>
  <sheetFormatPr defaultColWidth="9" defaultRowHeight="13.5" outlineLevelRow="7" outlineLevelCol="6"/>
  <cols>
    <col min="1" max="1" width="15.625" customWidth="1"/>
    <col min="7" max="7" width="9.375"/>
  </cols>
  <sheetData>
    <row r="1" ht="16.5" spans="1:7">
      <c r="A1" s="1" t="s">
        <v>3373</v>
      </c>
      <c r="B1" s="2">
        <f>SUM(B3:B31)</f>
        <v>2489.2</v>
      </c>
      <c r="C1" s="3" cm="1">
        <f t="array" ref="C1">SUMPRODUCT(C3:C31*B3:B31)/B1</f>
        <v>256.100851679254</v>
      </c>
      <c r="D1" s="4" cm="1">
        <f t="array" ref="D1">SUMPRODUCT(B3:B31*D3:D31)/B1</f>
        <v>4.85467620118914</v>
      </c>
      <c r="E1" s="3" cm="1">
        <f t="array" ref="E1">SUMPRODUCT(B3:B31*E3:E31)/B1</f>
        <v>89.7765547163747</v>
      </c>
      <c r="F1" s="3" cm="1">
        <f t="array" ref="F1">SUMPRODUCT(B3:B31*F3:F31)/B1</f>
        <v>97.3592559858589</v>
      </c>
    </row>
    <row r="2" ht="16.5" spans="1:7">
      <c r="A2" s="5">
        <v>240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7">
      <c r="A3" s="13" t="s">
        <v>3374</v>
      </c>
      <c r="B3" s="14">
        <v>251.8</v>
      </c>
      <c r="C3" s="15">
        <v>271.6</v>
      </c>
      <c r="D3" s="16">
        <v>5.16</v>
      </c>
      <c r="E3" s="17">
        <v>88.2</v>
      </c>
      <c r="F3" s="17">
        <v>96.7</v>
      </c>
      <c r="G3" s="24">
        <v>25120056</v>
      </c>
    </row>
    <row r="4" ht="16.5" spans="1:7">
      <c r="A4" s="23" t="s">
        <v>3375</v>
      </c>
      <c r="B4" s="14">
        <v>849.2</v>
      </c>
      <c r="C4" s="15">
        <v>237.4</v>
      </c>
      <c r="D4" s="16">
        <v>4.57</v>
      </c>
      <c r="E4" s="17">
        <v>90.7</v>
      </c>
      <c r="F4" s="17">
        <v>97.9</v>
      </c>
      <c r="G4" s="24">
        <v>25100112</v>
      </c>
    </row>
    <row r="5" ht="16.5" spans="1:7">
      <c r="A5" s="13" t="s">
        <v>3376</v>
      </c>
      <c r="B5" s="14">
        <v>178</v>
      </c>
      <c r="C5" s="15">
        <v>267.5</v>
      </c>
      <c r="D5" s="16">
        <v>5.84</v>
      </c>
      <c r="E5" s="17">
        <v>87.5</v>
      </c>
      <c r="F5" s="17">
        <v>96.6</v>
      </c>
      <c r="G5" s="24">
        <v>25110021</v>
      </c>
    </row>
    <row r="6" ht="16.5" spans="1:7">
      <c r="A6" s="13" t="s">
        <v>3377</v>
      </c>
      <c r="B6" s="14">
        <v>489.4</v>
      </c>
      <c r="C6" s="15">
        <v>278.2</v>
      </c>
      <c r="D6" s="16">
        <v>4.94</v>
      </c>
      <c r="E6" s="17">
        <v>91</v>
      </c>
      <c r="F6" s="17">
        <v>98</v>
      </c>
      <c r="G6" s="24">
        <v>25120054</v>
      </c>
    </row>
    <row r="7" ht="16.5" spans="1:7">
      <c r="A7" s="23" t="s">
        <v>3378</v>
      </c>
      <c r="B7" s="14">
        <v>580.2</v>
      </c>
      <c r="C7" s="15">
        <v>251.7</v>
      </c>
      <c r="D7" s="16">
        <v>4.63</v>
      </c>
      <c r="E7" s="17">
        <v>89.4</v>
      </c>
      <c r="F7" s="17">
        <v>96.9</v>
      </c>
      <c r="G7" s="24">
        <v>25100217</v>
      </c>
    </row>
    <row r="8" ht="16.5" spans="1:7">
      <c r="A8" s="13" t="s">
        <v>3379</v>
      </c>
      <c r="B8" s="14">
        <v>140.6</v>
      </c>
      <c r="C8" s="15">
        <v>268.1</v>
      </c>
      <c r="D8" s="16">
        <v>5.41</v>
      </c>
      <c r="E8" s="17">
        <v>87.2</v>
      </c>
      <c r="F8" s="17">
        <v>95.9</v>
      </c>
      <c r="G8" s="24">
        <v>25120080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B3 B6 B4:C5 B7:C8"/>
  </dataValidations>
  <pageMargins left="0.75" right="0.75" top="1" bottom="1" header="0.5" footer="0.5"/>
  <pageSetup paperSize="9" orientation="portrait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L21" sqref="L21"/>
    </sheetView>
  </sheetViews>
  <sheetFormatPr defaultColWidth="9" defaultRowHeight="13.5"/>
  <cols>
    <col min="1" max="1" width="15.625" customWidth="1"/>
    <col min="9" max="9" width="15.625" customWidth="1"/>
  </cols>
  <sheetData>
    <row r="1" ht="16.5" spans="1:15">
      <c r="A1" s="1">
        <v>1223</v>
      </c>
      <c r="B1" s="2">
        <f>SUM(B3:B32)</f>
        <v>5186.4</v>
      </c>
      <c r="C1" s="3" cm="1">
        <f t="array" ref="C1">SUMPRODUCT(C3:C32*B3:B32)/B1</f>
        <v>219.326314977634</v>
      </c>
      <c r="D1" s="4" cm="1">
        <f t="array" ref="D1">SUMPRODUCT(B3:B32*D3:D32)/B1</f>
        <v>4.86861638130495</v>
      </c>
      <c r="E1" s="3" cm="1">
        <f t="array" ref="E1">SUMPRODUCT(B3:B32*E3:E32)/B1</f>
        <v>86.4295310812895</v>
      </c>
      <c r="F1" s="3" cm="1">
        <f t="array" ref="F1">SUMPRODUCT(B3:B32*F3:F32)/B1</f>
        <v>96.5467607589079</v>
      </c>
      <c r="G1" s="3" cm="1">
        <f t="array" ref="G1">SUMPRODUCT(B3:B32*G3:G32)/B1</f>
        <v>12.469362178004</v>
      </c>
      <c r="I1" s="1">
        <v>1224</v>
      </c>
      <c r="J1" s="2">
        <f>SUM(J3:J30)</f>
        <v>1117.8</v>
      </c>
      <c r="K1" s="3" cm="1">
        <f t="array" ref="K1">SUMPRODUCT(K3:K30*J3:J30)/J1</f>
        <v>249.458847736626</v>
      </c>
      <c r="L1" s="4" cm="1">
        <f t="array" ref="L1">SUMPRODUCT(J3:J30*L3:L30)/J1</f>
        <v>4.13458221506531</v>
      </c>
      <c r="M1" s="3" cm="1">
        <f t="array" ref="M1">SUMPRODUCT(J3:J30*M3:M30)/J1</f>
        <v>88.4876901055645</v>
      </c>
      <c r="N1" s="3" cm="1">
        <f t="array" ref="N1">SUMPRODUCT(J3:J30*N3:N30)/J1</f>
        <v>97.7072463768116</v>
      </c>
    </row>
    <row r="2" ht="16.5" spans="1:15">
      <c r="A2" s="5">
        <v>200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19</v>
      </c>
      <c r="I2" s="5">
        <v>220</v>
      </c>
      <c r="J2" s="6" t="s">
        <v>0</v>
      </c>
      <c r="K2" s="6" t="s">
        <v>1</v>
      </c>
      <c r="L2" s="6" t="s">
        <v>2</v>
      </c>
      <c r="M2" s="6" t="s">
        <v>3</v>
      </c>
      <c r="N2" s="6" t="s">
        <v>4</v>
      </c>
    </row>
    <row r="3" ht="16.5" spans="1:15">
      <c r="A3" s="20" t="s">
        <v>3380</v>
      </c>
      <c r="B3" s="19">
        <v>2500</v>
      </c>
      <c r="C3" s="1">
        <v>221</v>
      </c>
      <c r="D3" s="1">
        <v>5.08</v>
      </c>
      <c r="E3" s="2">
        <v>84.7</v>
      </c>
      <c r="F3" s="2">
        <v>95.8</v>
      </c>
      <c r="G3" s="22">
        <v>13</v>
      </c>
      <c r="I3" s="23" t="s">
        <v>3381</v>
      </c>
      <c r="J3" s="14">
        <v>479.6</v>
      </c>
      <c r="K3" s="15">
        <v>250</v>
      </c>
      <c r="L3" s="16">
        <v>4.41</v>
      </c>
      <c r="M3" s="17">
        <v>90.1</v>
      </c>
      <c r="N3" s="17">
        <v>98.2</v>
      </c>
      <c r="O3" s="24">
        <v>25050094</v>
      </c>
    </row>
    <row r="4" ht="16.5" spans="1:15">
      <c r="A4" s="13" t="s">
        <v>3382</v>
      </c>
      <c r="B4" s="14">
        <v>212.8</v>
      </c>
      <c r="C4" s="15">
        <v>215.6</v>
      </c>
      <c r="D4" s="16">
        <v>4.63</v>
      </c>
      <c r="E4" s="17">
        <v>90</v>
      </c>
      <c r="F4" s="17">
        <v>97.9</v>
      </c>
      <c r="G4" s="25">
        <v>10.63</v>
      </c>
      <c r="I4" s="26" t="s">
        <v>3383</v>
      </c>
      <c r="J4" s="14">
        <v>374.6</v>
      </c>
      <c r="K4" s="15">
        <v>249.3</v>
      </c>
      <c r="L4" s="16">
        <v>3.94</v>
      </c>
      <c r="M4" s="17">
        <v>85.5</v>
      </c>
      <c r="N4" s="17">
        <v>96.8</v>
      </c>
      <c r="O4" s="24">
        <v>25040413</v>
      </c>
    </row>
    <row r="5" ht="16.5" spans="1:15">
      <c r="A5" s="13" t="s">
        <v>3384</v>
      </c>
      <c r="B5" s="14">
        <v>475.2</v>
      </c>
      <c r="C5" s="15">
        <v>208</v>
      </c>
      <c r="D5" s="16">
        <v>4.52</v>
      </c>
      <c r="E5" s="17">
        <v>90</v>
      </c>
      <c r="F5" s="17">
        <v>97.9</v>
      </c>
      <c r="G5" s="25">
        <v>11.68</v>
      </c>
      <c r="I5" s="23" t="s">
        <v>3385</v>
      </c>
      <c r="J5" s="14">
        <v>263.6</v>
      </c>
      <c r="K5" s="15">
        <v>248.7</v>
      </c>
      <c r="L5" s="16">
        <v>3.91</v>
      </c>
      <c r="M5" s="17">
        <v>89.8</v>
      </c>
      <c r="N5" s="17">
        <v>98.1</v>
      </c>
      <c r="O5" s="24">
        <v>25070093</v>
      </c>
    </row>
    <row r="6" ht="16.5" spans="1:15">
      <c r="A6" s="20" t="s">
        <v>3380</v>
      </c>
      <c r="B6" s="19">
        <v>500</v>
      </c>
      <c r="C6" s="1">
        <v>221</v>
      </c>
      <c r="D6" s="1">
        <v>5.08</v>
      </c>
      <c r="E6" s="2">
        <v>84.7</v>
      </c>
      <c r="F6" s="2">
        <v>95.8</v>
      </c>
      <c r="G6" s="22">
        <v>13</v>
      </c>
    </row>
    <row r="7" ht="16.5" spans="1:15">
      <c r="A7" s="13" t="s">
        <v>3386</v>
      </c>
      <c r="B7" s="14">
        <v>289.6</v>
      </c>
      <c r="C7" s="15">
        <v>172.9</v>
      </c>
      <c r="D7" s="16">
        <v>3.73</v>
      </c>
      <c r="E7" s="17">
        <v>89.4</v>
      </c>
      <c r="F7" s="17">
        <v>98.4</v>
      </c>
      <c r="G7" s="25">
        <v>10.05</v>
      </c>
    </row>
    <row r="8" ht="16.5" spans="1:15">
      <c r="A8" s="26" t="s">
        <v>3387</v>
      </c>
      <c r="B8" s="14">
        <v>258.8</v>
      </c>
      <c r="C8" s="15">
        <v>237.6</v>
      </c>
      <c r="D8" s="16">
        <v>4.57</v>
      </c>
      <c r="E8" s="17">
        <v>90.1</v>
      </c>
      <c r="F8" s="17">
        <v>98.1</v>
      </c>
      <c r="G8" s="25">
        <v>11.9</v>
      </c>
    </row>
    <row r="9" ht="16.5" spans="1:15">
      <c r="A9" s="26" t="s">
        <v>3388</v>
      </c>
      <c r="B9" s="14">
        <v>450</v>
      </c>
      <c r="C9" s="15">
        <v>239.4</v>
      </c>
      <c r="D9" s="16">
        <v>4.61</v>
      </c>
      <c r="E9" s="17">
        <v>90.4</v>
      </c>
      <c r="F9" s="17">
        <v>98.2</v>
      </c>
      <c r="G9" s="25">
        <v>11.93</v>
      </c>
    </row>
    <row r="10" ht="16.5" spans="1:15">
      <c r="A10" s="20" t="s">
        <v>3380</v>
      </c>
      <c r="B10" s="19">
        <v>500</v>
      </c>
      <c r="C10" s="1">
        <v>221</v>
      </c>
      <c r="D10" s="1">
        <v>5.08</v>
      </c>
      <c r="E10" s="2">
        <v>84.7</v>
      </c>
      <c r="F10" s="2">
        <v>95.8</v>
      </c>
      <c r="G10" s="22">
        <v>13</v>
      </c>
    </row>
  </sheetData>
  <conditionalFormatting sqref="A1:A2">
    <cfRule type="duplicateValues" dxfId="0" priority="4"/>
  </conditionalFormatting>
  <conditionalFormatting sqref="I1:I2">
    <cfRule type="duplicateValues" dxfId="0" priority="2"/>
  </conditionalFormatting>
  <dataValidations count="1">
    <dataValidation allowBlank="1" showInputMessage="1" showErrorMessage="1" sqref="C3 C6 C10 B7:C9 B4:C5 J3:K5"/>
  </dataValidations>
  <pageMargins left="0.75" right="0.75" top="1" bottom="1" header="0.5" footer="0.5"/>
  <pageSetup paperSize="9" orientation="portrait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A1" sqref="A1:F2"/>
    </sheetView>
  </sheetViews>
  <sheetFormatPr defaultColWidth="9" defaultRowHeight="13.5" outlineLevelRow="4"/>
  <cols>
    <col min="1" max="1" width="15.625" customWidth="1"/>
    <col min="11" max="11" width="15.625" customWidth="1"/>
  </cols>
  <sheetData>
    <row r="1" ht="16.5" spans="1:13">
      <c r="A1" s="1">
        <v>1225</v>
      </c>
      <c r="B1" s="2">
        <f>SUM(B3:B31)</f>
        <v>10050</v>
      </c>
      <c r="C1" s="3" cm="1">
        <f t="array" ref="C1">SUMPRODUCT(C3:C31*B3:B31)/B1</f>
        <v>211.765671641791</v>
      </c>
      <c r="D1" s="4" cm="1">
        <f t="array" ref="D1">SUMPRODUCT(B3:B31*D3:D31)/B1</f>
        <v>4.84407960199005</v>
      </c>
      <c r="E1" s="3" cm="1">
        <f t="array" ref="E1">SUMPRODUCT(B3:B31*E3:E31)/B1</f>
        <v>80.4169154228856</v>
      </c>
      <c r="F1" s="3" cm="1">
        <f t="array" ref="F1">SUMPRODUCT(B3:B31*F3:F31)/B1</f>
        <v>94.3074626865672</v>
      </c>
      <c r="K1" s="18" t="s">
        <v>3389</v>
      </c>
      <c r="L1" s="14">
        <v>551.2</v>
      </c>
      <c r="M1" s="14">
        <v>24090084</v>
      </c>
    </row>
    <row r="2" ht="16.5" spans="1:13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13">
      <c r="A3" s="1">
        <v>20250130</v>
      </c>
      <c r="B3" s="19">
        <v>5000</v>
      </c>
      <c r="C3" s="1">
        <v>217.3</v>
      </c>
      <c r="D3" s="1">
        <v>4.96</v>
      </c>
      <c r="E3" s="2">
        <v>77.4</v>
      </c>
      <c r="F3" s="2">
        <v>92.8</v>
      </c>
    </row>
    <row r="4" ht="16.5" spans="1:13">
      <c r="A4" s="20">
        <v>20250805</v>
      </c>
      <c r="B4" s="19">
        <v>3850</v>
      </c>
      <c r="C4" s="1">
        <v>201.7</v>
      </c>
      <c r="D4" s="1">
        <v>4.62</v>
      </c>
      <c r="E4" s="2">
        <v>83</v>
      </c>
      <c r="F4" s="2">
        <v>95.8</v>
      </c>
    </row>
    <row r="5" ht="16.5" spans="1:13">
      <c r="A5" s="21">
        <v>20241019</v>
      </c>
      <c r="B5" s="19">
        <v>1200</v>
      </c>
      <c r="C5" s="21">
        <v>221</v>
      </c>
      <c r="D5" s="21">
        <v>5.08</v>
      </c>
      <c r="E5" s="2">
        <v>84.7</v>
      </c>
      <c r="F5" s="2">
        <v>95.8</v>
      </c>
    </row>
  </sheetData>
  <conditionalFormatting sqref="A1:A2">
    <cfRule type="duplicateValues" dxfId="0" priority="1"/>
  </conditionalFormatting>
  <dataValidations count="1">
    <dataValidation allowBlank="1" showInputMessage="1" showErrorMessage="1" sqref="L1 C3:C4"/>
  </dataValidations>
  <pageMargins left="0.75" right="0.75" top="1" bottom="1" header="0.5" footer="0.5"/>
  <pageSetup paperSize="9" orientation="portrait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16" sqref="F16"/>
    </sheetView>
  </sheetViews>
  <sheetFormatPr defaultColWidth="9" defaultRowHeight="13.5" outlineLevelRow="6" outlineLevelCol="5"/>
  <cols>
    <col min="1" max="1" width="15.625" customWidth="1"/>
  </cols>
  <sheetData>
    <row r="1" ht="16.5" spans="1:6">
      <c r="A1" s="1">
        <v>1228</v>
      </c>
      <c r="B1" s="2">
        <f>SUM(B3:B31)</f>
        <v>10024.8</v>
      </c>
      <c r="C1" s="3" cm="1">
        <f t="array" ref="C1">SUMPRODUCT(C3:C31*B3:B31)/B1</f>
        <v>228.773467799856</v>
      </c>
      <c r="D1" s="4" cm="1">
        <f t="array" ref="D1">SUMPRODUCT(B3:B31*D3:D31)/B1</f>
        <v>4.8279774160083</v>
      </c>
      <c r="E1" s="3" cm="1">
        <f t="array" ref="E1">SUMPRODUCT(B3:B31*E3:E31)/B1</f>
        <v>84.2044290160402</v>
      </c>
      <c r="F1" s="3" cm="1">
        <f t="array" ref="F1">SUMPRODUCT(B3:B31*F3:F31)/B1</f>
        <v>95.0133648551592</v>
      </c>
    </row>
    <row r="2" ht="16.5" spans="1:6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ht="16.5" spans="1:6">
      <c r="A3" s="1">
        <v>20241147</v>
      </c>
      <c r="B3" s="7">
        <v>3500</v>
      </c>
      <c r="C3" s="1">
        <v>226.3</v>
      </c>
      <c r="D3" s="1">
        <v>4.88</v>
      </c>
      <c r="E3" s="2">
        <v>78.5</v>
      </c>
      <c r="F3" s="2">
        <v>94.1</v>
      </c>
    </row>
    <row r="4" ht="16.5" spans="1:6">
      <c r="A4" s="1">
        <v>20250215</v>
      </c>
      <c r="B4" s="7">
        <v>5000</v>
      </c>
      <c r="C4" s="1">
        <v>237.1</v>
      </c>
      <c r="D4" s="1">
        <v>4.94</v>
      </c>
      <c r="E4" s="2">
        <v>88.6</v>
      </c>
      <c r="F4" s="2">
        <v>95.9</v>
      </c>
    </row>
    <row r="5" ht="16.5" spans="1:6">
      <c r="A5" s="8" t="s">
        <v>3390</v>
      </c>
      <c r="B5" s="9">
        <v>539.2</v>
      </c>
      <c r="C5" s="10">
        <v>157.7</v>
      </c>
      <c r="D5" s="11">
        <v>3.49</v>
      </c>
      <c r="E5" s="12">
        <v>80.5</v>
      </c>
      <c r="F5" s="12">
        <v>93.5</v>
      </c>
    </row>
    <row r="6" ht="16.5" spans="1:6">
      <c r="A6" s="13" t="s">
        <v>3391</v>
      </c>
      <c r="B6" s="14">
        <v>411.4</v>
      </c>
      <c r="C6" s="15">
        <v>174.6</v>
      </c>
      <c r="D6" s="16">
        <v>3.7</v>
      </c>
      <c r="E6" s="17">
        <v>75.8</v>
      </c>
      <c r="F6" s="17">
        <v>90.8</v>
      </c>
    </row>
    <row r="7" ht="16.5" spans="1:6">
      <c r="A7" s="13" t="s">
        <v>3392</v>
      </c>
      <c r="B7" s="14">
        <v>574.2</v>
      </c>
      <c r="C7" s="15">
        <v>276.9</v>
      </c>
      <c r="D7" s="16">
        <v>5.6</v>
      </c>
      <c r="E7" s="17">
        <v>90.2</v>
      </c>
      <c r="F7" s="17">
        <v>97.3</v>
      </c>
    </row>
  </sheetData>
  <dataValidations count="1">
    <dataValidation allowBlank="1" showInputMessage="1" showErrorMessage="1" sqref="C3:C4 B5:C7"/>
  </dataValidations>
  <pageMargins left="0.75" right="0.75" top="1" bottom="1" header="0.5" footer="0.5"/>
  <pageSetup paperSize="9" orientation="portrait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197</vt:i4>
      </vt:variant>
    </vt:vector>
  </HeadingPairs>
  <TitlesOfParts>
    <vt:vector size="197" baseType="lpstr">
      <vt:lpstr>0101</vt:lpstr>
      <vt:lpstr>0102</vt:lpstr>
      <vt:lpstr>103-04</vt:lpstr>
      <vt:lpstr>105</vt:lpstr>
      <vt:lpstr>106</vt:lpstr>
      <vt:lpstr>107</vt:lpstr>
      <vt:lpstr>108</vt:lpstr>
      <vt:lpstr>109</vt:lpstr>
      <vt:lpstr>110</vt:lpstr>
      <vt:lpstr>115</vt:lpstr>
      <vt:lpstr>116</vt:lpstr>
      <vt:lpstr>117</vt:lpstr>
      <vt:lpstr>118</vt:lpstr>
      <vt:lpstr>119-20</vt:lpstr>
      <vt:lpstr>121-23</vt:lpstr>
      <vt:lpstr>124-26</vt:lpstr>
      <vt:lpstr>127</vt:lpstr>
      <vt:lpstr>128</vt:lpstr>
      <vt:lpstr>131</vt:lpstr>
      <vt:lpstr>201-202</vt:lpstr>
      <vt:lpstr>204</vt:lpstr>
      <vt:lpstr>205</vt:lpstr>
      <vt:lpstr>206</vt:lpstr>
      <vt:lpstr>207</vt:lpstr>
      <vt:lpstr>208-211</vt:lpstr>
      <vt:lpstr>212-13</vt:lpstr>
      <vt:lpstr>214-15</vt:lpstr>
      <vt:lpstr>216-17</vt:lpstr>
      <vt:lpstr>218</vt:lpstr>
      <vt:lpstr>219</vt:lpstr>
      <vt:lpstr>JK</vt:lpstr>
      <vt:lpstr>220-21</vt:lpstr>
      <vt:lpstr>301</vt:lpstr>
      <vt:lpstr>302-03</vt:lpstr>
      <vt:lpstr>304-307</vt:lpstr>
      <vt:lpstr>306</vt:lpstr>
      <vt:lpstr>308-9</vt:lpstr>
      <vt:lpstr>309-10</vt:lpstr>
      <vt:lpstr>311-12</vt:lpstr>
      <vt:lpstr>313-14</vt:lpstr>
      <vt:lpstr>315</vt:lpstr>
      <vt:lpstr>317-18</vt:lpstr>
      <vt:lpstr>319</vt:lpstr>
      <vt:lpstr>322-24</vt:lpstr>
      <vt:lpstr>325</vt:lpstr>
      <vt:lpstr>326-27</vt:lpstr>
      <vt:lpstr>328-29</vt:lpstr>
      <vt:lpstr>401-403</vt:lpstr>
      <vt:lpstr>404</vt:lpstr>
      <vt:lpstr>405</vt:lpstr>
      <vt:lpstr>406-409</vt:lpstr>
      <vt:lpstr>410</vt:lpstr>
      <vt:lpstr>JK4</vt:lpstr>
      <vt:lpstr>0411-13</vt:lpstr>
      <vt:lpstr>414-16</vt:lpstr>
      <vt:lpstr>417</vt:lpstr>
      <vt:lpstr>501</vt:lpstr>
      <vt:lpstr>502</vt:lpstr>
      <vt:lpstr>503</vt:lpstr>
      <vt:lpstr>504</vt:lpstr>
      <vt:lpstr>601-2</vt:lpstr>
      <vt:lpstr>603</vt:lpstr>
      <vt:lpstr>604</vt:lpstr>
      <vt:lpstr>0605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701</vt:lpstr>
      <vt:lpstr>702-2</vt:lpstr>
      <vt:lpstr>703</vt:lpstr>
      <vt:lpstr>704</vt:lpstr>
      <vt:lpstr>705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101</vt:lpstr>
      <vt:lpstr>102</vt:lpstr>
      <vt:lpstr>103</vt:lpstr>
      <vt:lpstr>104</vt:lpstr>
      <vt:lpstr>1005</vt:lpstr>
      <vt:lpstr>1006</vt:lpstr>
      <vt:lpstr>JK101</vt:lpstr>
      <vt:lpstr>JK102</vt:lpstr>
      <vt:lpstr>JK103</vt:lpstr>
      <vt:lpstr>1007</vt:lpstr>
      <vt:lpstr>1008</vt:lpstr>
      <vt:lpstr>1009</vt:lpstr>
      <vt:lpstr>1010</vt:lpstr>
      <vt:lpstr>1011</vt:lpstr>
      <vt:lpstr>1012</vt:lpstr>
      <vt:lpstr>1013</vt:lpstr>
      <vt:lpstr>1014</vt:lpstr>
      <vt:lpstr>1015</vt:lpstr>
      <vt:lpstr>1101</vt:lpstr>
      <vt:lpstr>1102</vt:lpstr>
      <vt:lpstr>1103</vt:lpstr>
      <vt:lpstr>1106</vt:lpstr>
      <vt:lpstr>1107</vt:lpstr>
      <vt:lpstr>1108</vt:lpstr>
      <vt:lpstr>1109</vt:lpstr>
      <vt:lpstr>1110</vt:lpstr>
      <vt:lpstr>1111-1112</vt:lpstr>
      <vt:lpstr>1113</vt:lpstr>
      <vt:lpstr>1115-1114</vt:lpstr>
      <vt:lpstr>1116</vt:lpstr>
      <vt:lpstr>1117</vt:lpstr>
      <vt:lpstr>1118</vt:lpstr>
      <vt:lpstr>1119</vt:lpstr>
      <vt:lpstr>1120-21</vt:lpstr>
      <vt:lpstr>1122</vt:lpstr>
      <vt:lpstr>1123</vt:lpstr>
      <vt:lpstr>1124</vt:lpstr>
      <vt:lpstr>1125</vt:lpstr>
      <vt:lpstr>1105</vt:lpstr>
      <vt:lpstr>1128</vt:lpstr>
      <vt:lpstr>1129</vt:lpstr>
      <vt:lpstr>JK1201</vt:lpstr>
      <vt:lpstr>1202</vt:lpstr>
      <vt:lpstr>1203</vt:lpstr>
      <vt:lpstr>1204</vt:lpstr>
      <vt:lpstr>1205-8</vt:lpstr>
      <vt:lpstr>1209粉</vt:lpstr>
      <vt:lpstr>Sheet15</vt:lpstr>
      <vt:lpstr>1211</vt:lpstr>
      <vt:lpstr>1212</vt:lpstr>
      <vt:lpstr>1213</vt:lpstr>
      <vt:lpstr>1214</vt:lpstr>
      <vt:lpstr>1215</vt:lpstr>
      <vt:lpstr>1216</vt:lpstr>
      <vt:lpstr>1217</vt:lpstr>
      <vt:lpstr>1218</vt:lpstr>
      <vt:lpstr>1219</vt:lpstr>
      <vt:lpstr>1220</vt:lpstr>
      <vt:lpstr>1221</vt:lpstr>
      <vt:lpstr>1222粉</vt:lpstr>
      <vt:lpstr>1223-24</vt:lpstr>
      <vt:lpstr>1225</vt:lpstr>
      <vt:lpstr>1228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2026-08-10T08:50:33Z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true</vt:bool>
  </property>
  <property fmtid="{D5CDD505-2E9C-101B-9397-08002B2CF9AE}" pid="4" name="ICV">
    <vt:lpwstr>A78C0D2818B64B4A82A9BC65621C9292_12</vt:lpwstr>
  </property>
  <property fmtid="{D5CDD505-2E9C-101B-9397-08002B2CF9AE}" pid="5" name="CalculationRule">
    <vt:i4>0</vt:i4>
  </property>
</Properties>
</file>